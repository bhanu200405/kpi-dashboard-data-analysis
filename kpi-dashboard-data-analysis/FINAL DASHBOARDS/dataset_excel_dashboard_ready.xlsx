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6" windowHeight="9120" activeTab="2"/>
  </bookViews>
  <sheets>
    <sheet name="Data" sheetId="1" r:id="rId1"/>
    <sheet name="Lists" sheetId="2" state="hidden" r:id="rId2"/>
    <sheet name="Calc" sheetId="3" r:id="rId3"/>
    <sheet name="Dashboard" sheetId="4" r:id="rId4"/>
    <sheet name="ChartData" sheetId="5" state="hidden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<sst xmlns="http://schemas.openxmlformats.org/spreadsheetml/2006/main" count="16233" uniqueCount="4708">
  <si>
    <t>Order_ID</t>
  </si>
  <si>
    <t>Customer_ID</t>
  </si>
  <si>
    <t>Product_ID</t>
  </si>
  <si>
    <t>Category</t>
  </si>
  <si>
    <t>Sub_Category</t>
  </si>
  <si>
    <t>Brand</t>
  </si>
  <si>
    <t>Quantity</t>
  </si>
  <si>
    <t>Unit_Price</t>
  </si>
  <si>
    <t>Discount</t>
  </si>
  <si>
    <t>Sales</t>
  </si>
  <si>
    <t>Profit</t>
  </si>
  <si>
    <t>Rating</t>
  </si>
  <si>
    <t>Order_Date</t>
  </si>
  <si>
    <t>Region</t>
  </si>
  <si>
    <t>Payment_Mode</t>
  </si>
  <si>
    <t>Profit_Margin_Pct</t>
  </si>
  <si>
    <t>FK0001</t>
  </si>
  <si>
    <t>C563</t>
  </si>
  <si>
    <t>P3961</t>
  </si>
  <si>
    <t>Electronics</t>
  </si>
  <si>
    <t>Headphones</t>
  </si>
  <si>
    <t>Boat</t>
  </si>
  <si>
    <t>East</t>
  </si>
  <si>
    <t>Debit Card</t>
  </si>
  <si>
    <t>FK0002</t>
  </si>
  <si>
    <t>C812</t>
  </si>
  <si>
    <t>P6384</t>
  </si>
  <si>
    <t>Fashion</t>
  </si>
  <si>
    <t>Bags</t>
  </si>
  <si>
    <t>Wildcraft</t>
  </si>
  <si>
    <t>South</t>
  </si>
  <si>
    <t>Net Banking</t>
  </si>
  <si>
    <t>FK0003</t>
  </si>
  <si>
    <t>C937</t>
  </si>
  <si>
    <t>P1678</t>
  </si>
  <si>
    <t>Cameras</t>
  </si>
  <si>
    <t>Canon</t>
  </si>
  <si>
    <t>FK0004</t>
  </si>
  <si>
    <t>C340</t>
  </si>
  <si>
    <t>P3602</t>
  </si>
  <si>
    <t>Home &amp; Kitchen</t>
  </si>
  <si>
    <t>Bedding</t>
  </si>
  <si>
    <t>Springfit</t>
  </si>
  <si>
    <t>West</t>
  </si>
  <si>
    <t>UPI</t>
  </si>
  <si>
    <t>FK0005</t>
  </si>
  <si>
    <t>C394</t>
  </si>
  <si>
    <t>P4059</t>
  </si>
  <si>
    <t>Watches</t>
  </si>
  <si>
    <t>Titan</t>
  </si>
  <si>
    <t>FK0006</t>
  </si>
  <si>
    <t>C708</t>
  </si>
  <si>
    <t>P7129</t>
  </si>
  <si>
    <t>Beauty</t>
  </si>
  <si>
    <t>Makeup</t>
  </si>
  <si>
    <t>Lakme</t>
  </si>
  <si>
    <t>North</t>
  </si>
  <si>
    <t>Credit Card</t>
  </si>
  <si>
    <t>FK0007</t>
  </si>
  <si>
    <t>C663</t>
  </si>
  <si>
    <t>P5865</t>
  </si>
  <si>
    <t>FK0008</t>
  </si>
  <si>
    <t>C272</t>
  </si>
  <si>
    <t>P5628</t>
  </si>
  <si>
    <t>Fossil</t>
  </si>
  <si>
    <t>FK0009</t>
  </si>
  <si>
    <t>C494</t>
  </si>
  <si>
    <t>P1300</t>
  </si>
  <si>
    <t>FK0010</t>
  </si>
  <si>
    <t>C817</t>
  </si>
  <si>
    <t>P1400</t>
  </si>
  <si>
    <t>Fragrances</t>
  </si>
  <si>
    <t>Axe</t>
  </si>
  <si>
    <t>Cash on Delivery</t>
  </si>
  <si>
    <t>FK0011</t>
  </si>
  <si>
    <t>C105</t>
  </si>
  <si>
    <t>P6946</t>
  </si>
  <si>
    <t>Casio</t>
  </si>
  <si>
    <t>FK0012</t>
  </si>
  <si>
    <t>C706</t>
  </si>
  <si>
    <t>P9256</t>
  </si>
  <si>
    <t>Decor</t>
  </si>
  <si>
    <t>FabIndia</t>
  </si>
  <si>
    <t>FK0013</t>
  </si>
  <si>
    <t>C680</t>
  </si>
  <si>
    <t>P3912</t>
  </si>
  <si>
    <t>Laptops</t>
  </si>
  <si>
    <t>HP</t>
  </si>
  <si>
    <t>FK0014</t>
  </si>
  <si>
    <t>C851</t>
  </si>
  <si>
    <t>P3967</t>
  </si>
  <si>
    <t>Kurlon</t>
  </si>
  <si>
    <t>FK0015</t>
  </si>
  <si>
    <t>C372</t>
  </si>
  <si>
    <t>P3179</t>
  </si>
  <si>
    <t>Skincare</t>
  </si>
  <si>
    <t>Nivea</t>
  </si>
  <si>
    <t>FK0016</t>
  </si>
  <si>
    <t>C147</t>
  </si>
  <si>
    <t>P4832</t>
  </si>
  <si>
    <t>Hair Care</t>
  </si>
  <si>
    <t>Pantene</t>
  </si>
  <si>
    <t>FK0017</t>
  </si>
  <si>
    <t>C209</t>
  </si>
  <si>
    <t>P6882</t>
  </si>
  <si>
    <t>Caprese</t>
  </si>
  <si>
    <t>FK0018</t>
  </si>
  <si>
    <t>C996</t>
  </si>
  <si>
    <t>P4325</t>
  </si>
  <si>
    <t>Maybelline</t>
  </si>
  <si>
    <t>FK0019</t>
  </si>
  <si>
    <t>C835</t>
  </si>
  <si>
    <t>P3659</t>
  </si>
  <si>
    <t>Lenovo</t>
  </si>
  <si>
    <t>FK0020</t>
  </si>
  <si>
    <t>C567</t>
  </si>
  <si>
    <t>P1531</t>
  </si>
  <si>
    <t>Shoes</t>
  </si>
  <si>
    <t>Reebok</t>
  </si>
  <si>
    <t>FK0021</t>
  </si>
  <si>
    <t>P8434</t>
  </si>
  <si>
    <t>Sony</t>
  </si>
  <si>
    <t>FK0022</t>
  </si>
  <si>
    <t>C576</t>
  </si>
  <si>
    <t>P9319</t>
  </si>
  <si>
    <t>Duroflex</t>
  </si>
  <si>
    <t>FK0023</t>
  </si>
  <si>
    <t>C185</t>
  </si>
  <si>
    <t>P9975</t>
  </si>
  <si>
    <t>Mobiles</t>
  </si>
  <si>
    <t>Xiaomi</t>
  </si>
  <si>
    <t>FK0024</t>
  </si>
  <si>
    <t>C781</t>
  </si>
  <si>
    <t>P3958</t>
  </si>
  <si>
    <t>Bose</t>
  </si>
  <si>
    <t>FK0025</t>
  </si>
  <si>
    <t>C647</t>
  </si>
  <si>
    <t>P1694</t>
  </si>
  <si>
    <t>FK0026</t>
  </si>
  <si>
    <t>C580</t>
  </si>
  <si>
    <t>P2139</t>
  </si>
  <si>
    <t>FK0027</t>
  </si>
  <si>
    <t>C641</t>
  </si>
  <si>
    <t>P3600</t>
  </si>
  <si>
    <t>FK0028</t>
  </si>
  <si>
    <t>C195</t>
  </si>
  <si>
    <t>P8676</t>
  </si>
  <si>
    <t>FK0029</t>
  </si>
  <si>
    <t>C255</t>
  </si>
  <si>
    <t>P1539</t>
  </si>
  <si>
    <t>Fogg</t>
  </si>
  <si>
    <t>FK0030</t>
  </si>
  <si>
    <t>C127</t>
  </si>
  <si>
    <t>P7239</t>
  </si>
  <si>
    <t>Sleepwell</t>
  </si>
  <si>
    <t>FK0031</t>
  </si>
  <si>
    <t>C395</t>
  </si>
  <si>
    <t>P6561</t>
  </si>
  <si>
    <t>FK0032</t>
  </si>
  <si>
    <t>C669</t>
  </si>
  <si>
    <t>P2257</t>
  </si>
  <si>
    <t>FK0033</t>
  </si>
  <si>
    <t>C306</t>
  </si>
  <si>
    <t>P6528</t>
  </si>
  <si>
    <t>FK0034</t>
  </si>
  <si>
    <t>C675</t>
  </si>
  <si>
    <t>P6794</t>
  </si>
  <si>
    <t>Samsung</t>
  </si>
  <si>
    <t>FK0035</t>
  </si>
  <si>
    <t>C426</t>
  </si>
  <si>
    <t>P4490</t>
  </si>
  <si>
    <t>FK0036</t>
  </si>
  <si>
    <t>C860</t>
  </si>
  <si>
    <t>P9326</t>
  </si>
  <si>
    <t>Kitchen Appliances</t>
  </si>
  <si>
    <t>Prestige</t>
  </si>
  <si>
    <t>FK0037</t>
  </si>
  <si>
    <t>C122</t>
  </si>
  <si>
    <t>P5993</t>
  </si>
  <si>
    <t>FK0038</t>
  </si>
  <si>
    <t>C519</t>
  </si>
  <si>
    <t>P5094</t>
  </si>
  <si>
    <t>Dell</t>
  </si>
  <si>
    <t>FK0039</t>
  </si>
  <si>
    <t>C820</t>
  </si>
  <si>
    <t>P9012</t>
  </si>
  <si>
    <t>FK0040</t>
  </si>
  <si>
    <t>C804</t>
  </si>
  <si>
    <t>P4806</t>
  </si>
  <si>
    <t>FK0041</t>
  </si>
  <si>
    <t>C144</t>
  </si>
  <si>
    <t>P1406</t>
  </si>
  <si>
    <t>Adidas</t>
  </si>
  <si>
    <t>FK0042</t>
  </si>
  <si>
    <t>C217</t>
  </si>
  <si>
    <t>P2374</t>
  </si>
  <si>
    <t>FK0043</t>
  </si>
  <si>
    <t>C543</t>
  </si>
  <si>
    <t>P8083</t>
  </si>
  <si>
    <t>Morphy Richards</t>
  </si>
  <si>
    <t>FK0044</t>
  </si>
  <si>
    <t>P4607</t>
  </si>
  <si>
    <t>Philips</t>
  </si>
  <si>
    <t>FK0045</t>
  </si>
  <si>
    <t>C220</t>
  </si>
  <si>
    <t>P6430</t>
  </si>
  <si>
    <t>FK0046</t>
  </si>
  <si>
    <t>C716</t>
  </si>
  <si>
    <t>P9547</t>
  </si>
  <si>
    <t>FK0047</t>
  </si>
  <si>
    <t>C650</t>
  </si>
  <si>
    <t>P9086</t>
  </si>
  <si>
    <t>FK0048</t>
  </si>
  <si>
    <t>C529</t>
  </si>
  <si>
    <t>P4003</t>
  </si>
  <si>
    <t>Nikon</t>
  </si>
  <si>
    <t>FK0049</t>
  </si>
  <si>
    <t>C630</t>
  </si>
  <si>
    <t>P2980</t>
  </si>
  <si>
    <t>FK0050</t>
  </si>
  <si>
    <t>C924</t>
  </si>
  <si>
    <t>P7012</t>
  </si>
  <si>
    <t>FK0051</t>
  </si>
  <si>
    <t>C482</t>
  </si>
  <si>
    <t>P5033</t>
  </si>
  <si>
    <t>Nike</t>
  </si>
  <si>
    <t>FK0052</t>
  </si>
  <si>
    <t>C128</t>
  </si>
  <si>
    <t>P8452</t>
  </si>
  <si>
    <t>Sunsilk</t>
  </si>
  <si>
    <t>FK0053</t>
  </si>
  <si>
    <t>C518</t>
  </si>
  <si>
    <t>P4891</t>
  </si>
  <si>
    <t>Apparel</t>
  </si>
  <si>
    <t>Zara</t>
  </si>
  <si>
    <t>FK0054</t>
  </si>
  <si>
    <t>C477</t>
  </si>
  <si>
    <t>P2142</t>
  </si>
  <si>
    <t>FK0055</t>
  </si>
  <si>
    <t>C784</t>
  </si>
  <si>
    <t>P6833</t>
  </si>
  <si>
    <t>HomeCentre</t>
  </si>
  <si>
    <t>FK0056</t>
  </si>
  <si>
    <t>C358</t>
  </si>
  <si>
    <t>P4552</t>
  </si>
  <si>
    <t>Fujifilm</t>
  </si>
  <si>
    <t>FK0057</t>
  </si>
  <si>
    <t>C112</t>
  </si>
  <si>
    <t>P5040</t>
  </si>
  <si>
    <t>Revlon</t>
  </si>
  <si>
    <t>FK0058</t>
  </si>
  <si>
    <t>C100</t>
  </si>
  <si>
    <t>P2660</t>
  </si>
  <si>
    <t>FK0059</t>
  </si>
  <si>
    <t>C581</t>
  </si>
  <si>
    <t>P2467</t>
  </si>
  <si>
    <t>FK0060</t>
  </si>
  <si>
    <t>P1575</t>
  </si>
  <si>
    <t>MAC</t>
  </si>
  <si>
    <t>FK0061</t>
  </si>
  <si>
    <t>C263</t>
  </si>
  <si>
    <t>P7987</t>
  </si>
  <si>
    <t>Furniture</t>
  </si>
  <si>
    <t>Nilkamal</t>
  </si>
  <si>
    <t>FK0062</t>
  </si>
  <si>
    <t>C945</t>
  </si>
  <si>
    <t>P6109</t>
  </si>
  <si>
    <t>Tresemme</t>
  </si>
  <si>
    <t>FK0063</t>
  </si>
  <si>
    <t>C469</t>
  </si>
  <si>
    <t>P1867</t>
  </si>
  <si>
    <t>L'Oreal</t>
  </si>
  <si>
    <t>FK0064</t>
  </si>
  <si>
    <t>C899</t>
  </si>
  <si>
    <t>P8746</t>
  </si>
  <si>
    <t>FK0065</t>
  </si>
  <si>
    <t>C266</t>
  </si>
  <si>
    <t>P3882</t>
  </si>
  <si>
    <t>FK0066</t>
  </si>
  <si>
    <t>C525</t>
  </si>
  <si>
    <t>P2819</t>
  </si>
  <si>
    <t>FK0067</t>
  </si>
  <si>
    <t>C597</t>
  </si>
  <si>
    <t>P6309</t>
  </si>
  <si>
    <t>FK0068</t>
  </si>
  <si>
    <t>C690</t>
  </si>
  <si>
    <t>P3981</t>
  </si>
  <si>
    <t>FK0069</t>
  </si>
  <si>
    <t>C364</t>
  </si>
  <si>
    <t>P5519</t>
  </si>
  <si>
    <t>FK0070</t>
  </si>
  <si>
    <t>C552</t>
  </si>
  <si>
    <t>P5324</t>
  </si>
  <si>
    <t>FK0071</t>
  </si>
  <si>
    <t>C741</t>
  </si>
  <si>
    <t>P6866</t>
  </si>
  <si>
    <t>FK0072</t>
  </si>
  <si>
    <t>C422</t>
  </si>
  <si>
    <t>P3003</t>
  </si>
  <si>
    <t>FK0073</t>
  </si>
  <si>
    <t>C679</t>
  </si>
  <si>
    <t>P7372</t>
  </si>
  <si>
    <t>OnePlus</t>
  </si>
  <si>
    <t>FK0074</t>
  </si>
  <si>
    <t>C891</t>
  </si>
  <si>
    <t>P4728</t>
  </si>
  <si>
    <t>The Body Shop</t>
  </si>
  <si>
    <t>FK0075</t>
  </si>
  <si>
    <t>C535</t>
  </si>
  <si>
    <t>P3501</t>
  </si>
  <si>
    <t>FK0076</t>
  </si>
  <si>
    <t>C528</t>
  </si>
  <si>
    <t>P1333</t>
  </si>
  <si>
    <t>Bajaj</t>
  </si>
  <si>
    <t>FK0077</t>
  </si>
  <si>
    <t>C989</t>
  </si>
  <si>
    <t>P8006</t>
  </si>
  <si>
    <t>FK0078</t>
  </si>
  <si>
    <t>C882</t>
  </si>
  <si>
    <t>P2294</t>
  </si>
  <si>
    <t>Apple</t>
  </si>
  <si>
    <t>FK0079</t>
  </si>
  <si>
    <t>C507</t>
  </si>
  <si>
    <t>P8011</t>
  </si>
  <si>
    <t>FK0080</t>
  </si>
  <si>
    <t>C353</t>
  </si>
  <si>
    <t>P2340</t>
  </si>
  <si>
    <t>FK0081</t>
  </si>
  <si>
    <t>C700</t>
  </si>
  <si>
    <t>P5635</t>
  </si>
  <si>
    <t>FK0082</t>
  </si>
  <si>
    <t>C752</t>
  </si>
  <si>
    <t>P5176</t>
  </si>
  <si>
    <t>FK0083</t>
  </si>
  <si>
    <t>C955</t>
  </si>
  <si>
    <t>P4900</t>
  </si>
  <si>
    <t>FK0084</t>
  </si>
  <si>
    <t>C137</t>
  </si>
  <si>
    <t>P6648</t>
  </si>
  <si>
    <t>FK0085</t>
  </si>
  <si>
    <t>C546</t>
  </si>
  <si>
    <t>P4115</t>
  </si>
  <si>
    <t>FK0086</t>
  </si>
  <si>
    <t>C829</t>
  </si>
  <si>
    <t>P9193</t>
  </si>
  <si>
    <t>Ikea</t>
  </si>
  <si>
    <t>FK0087</t>
  </si>
  <si>
    <t>C915</t>
  </si>
  <si>
    <t>P8136</t>
  </si>
  <si>
    <t>FK0088</t>
  </si>
  <si>
    <t>C977</t>
  </si>
  <si>
    <t>P3688</t>
  </si>
  <si>
    <t>FK0089</t>
  </si>
  <si>
    <t>C312</t>
  </si>
  <si>
    <t>P9912</t>
  </si>
  <si>
    <t>FK0090</t>
  </si>
  <si>
    <t>C821</t>
  </si>
  <si>
    <t>P9417</t>
  </si>
  <si>
    <t>Urban Ladder</t>
  </si>
  <si>
    <t>FK0091</t>
  </si>
  <si>
    <t>C602</t>
  </si>
  <si>
    <t>P7926</t>
  </si>
  <si>
    <t>Levi's</t>
  </si>
  <si>
    <t>FK0092</t>
  </si>
  <si>
    <t>P8845</t>
  </si>
  <si>
    <t>FK0093</t>
  </si>
  <si>
    <t>C884</t>
  </si>
  <si>
    <t>P6030</t>
  </si>
  <si>
    <t>FK0094</t>
  </si>
  <si>
    <t>C634</t>
  </si>
  <si>
    <t>P7292</t>
  </si>
  <si>
    <t>FK0095</t>
  </si>
  <si>
    <t>C191</t>
  </si>
  <si>
    <t>P3510</t>
  </si>
  <si>
    <t>FK0096</t>
  </si>
  <si>
    <t>C177</t>
  </si>
  <si>
    <t>P7475</t>
  </si>
  <si>
    <t>FK0097</t>
  </si>
  <si>
    <t>C142</t>
  </si>
  <si>
    <t>P1115</t>
  </si>
  <si>
    <t>FK0098</t>
  </si>
  <si>
    <t>C895</t>
  </si>
  <si>
    <t>P5108</t>
  </si>
  <si>
    <t>FK0099</t>
  </si>
  <si>
    <t>P7041</t>
  </si>
  <si>
    <t>Godrej</t>
  </si>
  <si>
    <t>FK0100</t>
  </si>
  <si>
    <t>C224</t>
  </si>
  <si>
    <t>P7113</t>
  </si>
  <si>
    <t>FK0101</t>
  </si>
  <si>
    <t>P5060</t>
  </si>
  <si>
    <t>FK0102</t>
  </si>
  <si>
    <t>C646</t>
  </si>
  <si>
    <t>P5181</t>
  </si>
  <si>
    <t>FK0103</t>
  </si>
  <si>
    <t>C161</t>
  </si>
  <si>
    <t>P9850</t>
  </si>
  <si>
    <t>FK0104</t>
  </si>
  <si>
    <t>C472</t>
  </si>
  <si>
    <t>P4250</t>
  </si>
  <si>
    <t>FK0105</t>
  </si>
  <si>
    <t>C579</t>
  </si>
  <si>
    <t>P9596</t>
  </si>
  <si>
    <t>FK0106</t>
  </si>
  <si>
    <t>C830</t>
  </si>
  <si>
    <t>P9149</t>
  </si>
  <si>
    <t>Engage</t>
  </si>
  <si>
    <t>FK0107</t>
  </si>
  <si>
    <t>C329</t>
  </si>
  <si>
    <t>P6400</t>
  </si>
  <si>
    <t>FK0108</t>
  </si>
  <si>
    <t>C442</t>
  </si>
  <si>
    <t>P2373</t>
  </si>
  <si>
    <t>FK0109</t>
  </si>
  <si>
    <t>C932</t>
  </si>
  <si>
    <t>P4618</t>
  </si>
  <si>
    <t>FK0110</t>
  </si>
  <si>
    <t>C738</t>
  </si>
  <si>
    <t>P1859</t>
  </si>
  <si>
    <t>FK0111</t>
  </si>
  <si>
    <t>C175</t>
  </si>
  <si>
    <t>P9011</t>
  </si>
  <si>
    <t>FK0112</t>
  </si>
  <si>
    <t>C277</t>
  </si>
  <si>
    <t>P1541</t>
  </si>
  <si>
    <t>FK0113</t>
  </si>
  <si>
    <t>C236</t>
  </si>
  <si>
    <t>P3524</t>
  </si>
  <si>
    <t>FK0114</t>
  </si>
  <si>
    <t>C526</t>
  </si>
  <si>
    <t>P1909</t>
  </si>
  <si>
    <t>FK0115</t>
  </si>
  <si>
    <t>C732</t>
  </si>
  <si>
    <t>P6219</t>
  </si>
  <si>
    <t>FK0116</t>
  </si>
  <si>
    <t>C487</t>
  </si>
  <si>
    <t>P9764</t>
  </si>
  <si>
    <t>FK0117</t>
  </si>
  <si>
    <t>C652</t>
  </si>
  <si>
    <t>P1866</t>
  </si>
  <si>
    <t>FK0118</t>
  </si>
  <si>
    <t>P2915</t>
  </si>
  <si>
    <t>FK0119</t>
  </si>
  <si>
    <t>C657</t>
  </si>
  <si>
    <t>P9841</t>
  </si>
  <si>
    <t>FK0120</t>
  </si>
  <si>
    <t>C325</t>
  </si>
  <si>
    <t>P6448</t>
  </si>
  <si>
    <t>FK0121</t>
  </si>
  <si>
    <t>C750</t>
  </si>
  <si>
    <t>P7501</t>
  </si>
  <si>
    <t>FK0122</t>
  </si>
  <si>
    <t>C933</t>
  </si>
  <si>
    <t>P2681</t>
  </si>
  <si>
    <t>JBL</t>
  </si>
  <si>
    <t>FK0123</t>
  </si>
  <si>
    <t>C447</t>
  </si>
  <si>
    <t>P8996</t>
  </si>
  <si>
    <t>FK0124</t>
  </si>
  <si>
    <t>C385</t>
  </si>
  <si>
    <t>P7466</t>
  </si>
  <si>
    <t>FK0125</t>
  </si>
  <si>
    <t>C661</t>
  </si>
  <si>
    <t>P2384</t>
  </si>
  <si>
    <t>FK0126</t>
  </si>
  <si>
    <t>C396</t>
  </si>
  <si>
    <t>P6399</t>
  </si>
  <si>
    <t>FK0127</t>
  </si>
  <si>
    <t>C966</t>
  </si>
  <si>
    <t>P7518</t>
  </si>
  <si>
    <t>FK0128</t>
  </si>
  <si>
    <t>C295</t>
  </si>
  <si>
    <t>P8157</t>
  </si>
  <si>
    <t>FK0129</t>
  </si>
  <si>
    <t>C991</t>
  </si>
  <si>
    <t>P3337</t>
  </si>
  <si>
    <t>FK0130</t>
  </si>
  <si>
    <t>P3008</t>
  </si>
  <si>
    <t>FK0131</t>
  </si>
  <si>
    <t>C170</t>
  </si>
  <si>
    <t>P8191</t>
  </si>
  <si>
    <t>FK0132</t>
  </si>
  <si>
    <t>C193</t>
  </si>
  <si>
    <t>P1350</t>
  </si>
  <si>
    <t>FK0133</t>
  </si>
  <si>
    <t>C542</t>
  </si>
  <si>
    <t>P4792</t>
  </si>
  <si>
    <t>FK0134</t>
  </si>
  <si>
    <t>C348</t>
  </si>
  <si>
    <t>P6166</t>
  </si>
  <si>
    <t>FK0135</t>
  </si>
  <si>
    <t>C215</t>
  </si>
  <si>
    <t>P8800</t>
  </si>
  <si>
    <t>FK0136</t>
  </si>
  <si>
    <t>C705</t>
  </si>
  <si>
    <t>P1003</t>
  </si>
  <si>
    <t>FK0137</t>
  </si>
  <si>
    <t>C429</t>
  </si>
  <si>
    <t>P4365</t>
  </si>
  <si>
    <t>FK0138</t>
  </si>
  <si>
    <t>C389</t>
  </si>
  <si>
    <t>P1471</t>
  </si>
  <si>
    <t>FK0139</t>
  </si>
  <si>
    <t>C769</t>
  </si>
  <si>
    <t>P1778</t>
  </si>
  <si>
    <t>Puma</t>
  </si>
  <si>
    <t>FK0140</t>
  </si>
  <si>
    <t>C343</t>
  </si>
  <si>
    <t>P3654</t>
  </si>
  <si>
    <t>FK0141</t>
  </si>
  <si>
    <t>C685</t>
  </si>
  <si>
    <t>P6705</t>
  </si>
  <si>
    <t>FK0142</t>
  </si>
  <si>
    <t>C401</t>
  </si>
  <si>
    <t>P3521</t>
  </si>
  <si>
    <t>FK0143</t>
  </si>
  <si>
    <t>C531</t>
  </si>
  <si>
    <t>P7658</t>
  </si>
  <si>
    <t>FK0144</t>
  </si>
  <si>
    <t>C873</t>
  </si>
  <si>
    <t>P2163</t>
  </si>
  <si>
    <t>FK0145</t>
  </si>
  <si>
    <t>C795</t>
  </si>
  <si>
    <t>P3071</t>
  </si>
  <si>
    <t>Neutrogena</t>
  </si>
  <si>
    <t>FK0146</t>
  </si>
  <si>
    <t>C758</t>
  </si>
  <si>
    <t>P5430</t>
  </si>
  <si>
    <t>FK0147</t>
  </si>
  <si>
    <t>P9750</t>
  </si>
  <si>
    <t>FK0148</t>
  </si>
  <si>
    <t>C536</t>
  </si>
  <si>
    <t>P4114</t>
  </si>
  <si>
    <t>FK0149</t>
  </si>
  <si>
    <t>C982</t>
  </si>
  <si>
    <t>P3259</t>
  </si>
  <si>
    <t>FK0150</t>
  </si>
  <si>
    <t>C102</t>
  </si>
  <si>
    <t>P3250</t>
  </si>
  <si>
    <t>FK0151</t>
  </si>
  <si>
    <t>C856</t>
  </si>
  <si>
    <t>P7601</t>
  </si>
  <si>
    <t>FK0152</t>
  </si>
  <si>
    <t>C610</t>
  </si>
  <si>
    <t>P8962</t>
  </si>
  <si>
    <t>FK0153</t>
  </si>
  <si>
    <t>C640</t>
  </si>
  <si>
    <t>P8420</t>
  </si>
  <si>
    <t>FK0154</t>
  </si>
  <si>
    <t>C134</t>
  </si>
  <si>
    <t>P8194</t>
  </si>
  <si>
    <t>FK0155</t>
  </si>
  <si>
    <t>C332</t>
  </si>
  <si>
    <t>P8417</t>
  </si>
  <si>
    <t>FK0156</t>
  </si>
  <si>
    <t>C936</t>
  </si>
  <si>
    <t>P2135</t>
  </si>
  <si>
    <t>FK0157</t>
  </si>
  <si>
    <t>C900</t>
  </si>
  <si>
    <t>P1676</t>
  </si>
  <si>
    <t>FK0158</t>
  </si>
  <si>
    <t>C356</t>
  </si>
  <si>
    <t>P9424</t>
  </si>
  <si>
    <t>FK0159</t>
  </si>
  <si>
    <t>C269</t>
  </si>
  <si>
    <t>P9411</t>
  </si>
  <si>
    <t>FK0160</t>
  </si>
  <si>
    <t>C150</t>
  </si>
  <si>
    <t>P5761</t>
  </si>
  <si>
    <t>FK0161</t>
  </si>
  <si>
    <t>C369</t>
  </si>
  <si>
    <t>P1847</t>
  </si>
  <si>
    <t>FK0162</t>
  </si>
  <si>
    <t>P6747</t>
  </si>
  <si>
    <t>FK0163</t>
  </si>
  <si>
    <t>C910</t>
  </si>
  <si>
    <t>P2650</t>
  </si>
  <si>
    <t>FK0164</t>
  </si>
  <si>
    <t>C772</t>
  </si>
  <si>
    <t>P2508</t>
  </si>
  <si>
    <t>FK0165</t>
  </si>
  <si>
    <t>C614</t>
  </si>
  <si>
    <t>P1723</t>
  </si>
  <si>
    <t>Rolex</t>
  </si>
  <si>
    <t>FK0166</t>
  </si>
  <si>
    <t>P4001</t>
  </si>
  <si>
    <t>FK0167</t>
  </si>
  <si>
    <t>C311</t>
  </si>
  <si>
    <t>P9370</t>
  </si>
  <si>
    <t>FK0168</t>
  </si>
  <si>
    <t>C473</t>
  </si>
  <si>
    <t>P2424</t>
  </si>
  <si>
    <t>FK0169</t>
  </si>
  <si>
    <t>C221</t>
  </si>
  <si>
    <t>P1911</t>
  </si>
  <si>
    <t>FK0170</t>
  </si>
  <si>
    <t>C562</t>
  </si>
  <si>
    <t>P5101</t>
  </si>
  <si>
    <t>FK0171</t>
  </si>
  <si>
    <t>C618</t>
  </si>
  <si>
    <t>P7468</t>
  </si>
  <si>
    <t>FK0172</t>
  </si>
  <si>
    <t>P5575</t>
  </si>
  <si>
    <t>FK0173</t>
  </si>
  <si>
    <t>C133</t>
  </si>
  <si>
    <t>P4589</t>
  </si>
  <si>
    <t>Uniqlo</t>
  </si>
  <si>
    <t>FK0174</t>
  </si>
  <si>
    <t>C423</t>
  </si>
  <si>
    <t>P5845</t>
  </si>
  <si>
    <t>FK0175</t>
  </si>
  <si>
    <t>C573</t>
  </si>
  <si>
    <t>P1720</t>
  </si>
  <si>
    <t>FK0176</t>
  </si>
  <si>
    <t>P7920</t>
  </si>
  <si>
    <t>FK0177</t>
  </si>
  <si>
    <t>P7223</t>
  </si>
  <si>
    <t>FK0178</t>
  </si>
  <si>
    <t>C635</t>
  </si>
  <si>
    <t>P1885</t>
  </si>
  <si>
    <t>FK0179</t>
  </si>
  <si>
    <t>C992</t>
  </si>
  <si>
    <t>P1801</t>
  </si>
  <si>
    <t>FK0180</t>
  </si>
  <si>
    <t>C838</t>
  </si>
  <si>
    <t>P3177</t>
  </si>
  <si>
    <t>FK0181</t>
  </si>
  <si>
    <t>C980</t>
  </si>
  <si>
    <t>P9446</t>
  </si>
  <si>
    <t>FK0182</t>
  </si>
  <si>
    <t>C787</t>
  </si>
  <si>
    <t>P9138</t>
  </si>
  <si>
    <t>FK0183</t>
  </si>
  <si>
    <t>C794</t>
  </si>
  <si>
    <t>P1207</t>
  </si>
  <si>
    <t>FK0184</t>
  </si>
  <si>
    <t>C108</t>
  </si>
  <si>
    <t>P7526</t>
  </si>
  <si>
    <t>FK0185</t>
  </si>
  <si>
    <t>C159</t>
  </si>
  <si>
    <t>P7858</t>
  </si>
  <si>
    <t>FK0186</t>
  </si>
  <si>
    <t>C216</t>
  </si>
  <si>
    <t>P3517</t>
  </si>
  <si>
    <t>FK0187</t>
  </si>
  <si>
    <t>C388</t>
  </si>
  <si>
    <t>P6225</t>
  </si>
  <si>
    <t>FK0188</t>
  </si>
  <si>
    <t>C228</t>
  </si>
  <si>
    <t>P3191</t>
  </si>
  <si>
    <t>FK0189</t>
  </si>
  <si>
    <t>C124</t>
  </si>
  <si>
    <t>P3733</t>
  </si>
  <si>
    <t>FK0190</t>
  </si>
  <si>
    <t>C616</t>
  </si>
  <si>
    <t>P4741</t>
  </si>
  <si>
    <t>FK0191</t>
  </si>
  <si>
    <t>C377</t>
  </si>
  <si>
    <t>P3655</t>
  </si>
  <si>
    <t>FK0192</t>
  </si>
  <si>
    <t>C315</t>
  </si>
  <si>
    <t>P5102</t>
  </si>
  <si>
    <t>FK0193</t>
  </si>
  <si>
    <t>C370</t>
  </si>
  <si>
    <t>P7862</t>
  </si>
  <si>
    <t>H&amp;M</t>
  </si>
  <si>
    <t>FK0194</t>
  </si>
  <si>
    <t>C245</t>
  </si>
  <si>
    <t>P4194</t>
  </si>
  <si>
    <t>FK0195</t>
  </si>
  <si>
    <t>C276</t>
  </si>
  <si>
    <t>P3368</t>
  </si>
  <si>
    <t>FK0196</t>
  </si>
  <si>
    <t>C550</t>
  </si>
  <si>
    <t>P6737</t>
  </si>
  <si>
    <t>FK0197</t>
  </si>
  <si>
    <t>C698</t>
  </si>
  <si>
    <t>P1110</t>
  </si>
  <si>
    <t>FK0198</t>
  </si>
  <si>
    <t>P7671</t>
  </si>
  <si>
    <t>FK0199</t>
  </si>
  <si>
    <t>P9767</t>
  </si>
  <si>
    <t>FK0200</t>
  </si>
  <si>
    <t>P8742</t>
  </si>
  <si>
    <t>FK0201</t>
  </si>
  <si>
    <t>C125</t>
  </si>
  <si>
    <t>FK0202</t>
  </si>
  <si>
    <t>C624</t>
  </si>
  <si>
    <t>P1888</t>
  </si>
  <si>
    <t>FK0203</t>
  </si>
  <si>
    <t>C774</t>
  </si>
  <si>
    <t>P7328</t>
  </si>
  <si>
    <t>FK0204</t>
  </si>
  <si>
    <t>C314</t>
  </si>
  <si>
    <t>P2447</t>
  </si>
  <si>
    <t>FK0205</t>
  </si>
  <si>
    <t>C294</t>
  </si>
  <si>
    <t>FK0206</t>
  </si>
  <si>
    <t>C604</t>
  </si>
  <si>
    <t>P1979</t>
  </si>
  <si>
    <t>FK0207</t>
  </si>
  <si>
    <t>C417</t>
  </si>
  <si>
    <t>P6570</t>
  </si>
  <si>
    <t>FK0208</t>
  </si>
  <si>
    <t>C823</t>
  </si>
  <si>
    <t>P1256</t>
  </si>
  <si>
    <t>FK0209</t>
  </si>
  <si>
    <t>C459</t>
  </si>
  <si>
    <t>P7187</t>
  </si>
  <si>
    <t>FK0210</t>
  </si>
  <si>
    <t>C626</t>
  </si>
  <si>
    <t>P8497</t>
  </si>
  <si>
    <t>FK0211</t>
  </si>
  <si>
    <t>C317</t>
  </si>
  <si>
    <t>P4103</t>
  </si>
  <si>
    <t>FK0212</t>
  </si>
  <si>
    <t>P6915</t>
  </si>
  <si>
    <t>FK0213</t>
  </si>
  <si>
    <t>C651</t>
  </si>
  <si>
    <t>P6918</t>
  </si>
  <si>
    <t>FK0214</t>
  </si>
  <si>
    <t>C337</t>
  </si>
  <si>
    <t>P1508</t>
  </si>
  <si>
    <t>FK0215</t>
  </si>
  <si>
    <t>C897</t>
  </si>
  <si>
    <t>P5346</t>
  </si>
  <si>
    <t>FK0216</t>
  </si>
  <si>
    <t>C598</t>
  </si>
  <si>
    <t>P6330</t>
  </si>
  <si>
    <t>FK0217</t>
  </si>
  <si>
    <t>P4922</t>
  </si>
  <si>
    <t>FK0218</t>
  </si>
  <si>
    <t>P6236</t>
  </si>
  <si>
    <t>FK0219</t>
  </si>
  <si>
    <t>C880</t>
  </si>
  <si>
    <t>P1338</t>
  </si>
  <si>
    <t>FK0220</t>
  </si>
  <si>
    <t>P4406</t>
  </si>
  <si>
    <t>FK0221</t>
  </si>
  <si>
    <t>P8982</t>
  </si>
  <si>
    <t>FK0222</t>
  </si>
  <si>
    <t>C475</t>
  </si>
  <si>
    <t>P9828</t>
  </si>
  <si>
    <t>FK0223</t>
  </si>
  <si>
    <t>P1634</t>
  </si>
  <si>
    <t>FK0224</t>
  </si>
  <si>
    <t>C601</t>
  </si>
  <si>
    <t>P7391</t>
  </si>
  <si>
    <t>FK0225</t>
  </si>
  <si>
    <t>C776</t>
  </si>
  <si>
    <t>P6923</t>
  </si>
  <si>
    <t>FK0226</t>
  </si>
  <si>
    <t>P5842</t>
  </si>
  <si>
    <t>FK0227</t>
  </si>
  <si>
    <t>P1172</t>
  </si>
  <si>
    <t>FK0228</t>
  </si>
  <si>
    <t>C378</t>
  </si>
  <si>
    <t>P5475</t>
  </si>
  <si>
    <t>FK0229</t>
  </si>
  <si>
    <t>C327</t>
  </si>
  <si>
    <t>P3979</t>
  </si>
  <si>
    <t>FK0230</t>
  </si>
  <si>
    <t>C156</t>
  </si>
  <si>
    <t>P7797</t>
  </si>
  <si>
    <t>FK0231</t>
  </si>
  <si>
    <t>C903</t>
  </si>
  <si>
    <t>P6821</t>
  </si>
  <si>
    <t>FK0232</t>
  </si>
  <si>
    <t>C789</t>
  </si>
  <si>
    <t>P9983</t>
  </si>
  <si>
    <t>FK0233</t>
  </si>
  <si>
    <t>C655</t>
  </si>
  <si>
    <t>P6758</t>
  </si>
  <si>
    <t>HomeTown</t>
  </si>
  <si>
    <t>FK0234</t>
  </si>
  <si>
    <t>C593</t>
  </si>
  <si>
    <t>P2173</t>
  </si>
  <si>
    <t>FK0235</t>
  </si>
  <si>
    <t>P3347</t>
  </si>
  <si>
    <t>FK0236</t>
  </si>
  <si>
    <t>C424</t>
  </si>
  <si>
    <t>P4442</t>
  </si>
  <si>
    <t>FK0237</t>
  </si>
  <si>
    <t>C757</t>
  </si>
  <si>
    <t>P5031</t>
  </si>
  <si>
    <t>FK0238</t>
  </si>
  <si>
    <t>C998</t>
  </si>
  <si>
    <t>P1464</t>
  </si>
  <si>
    <t>FK0239</t>
  </si>
  <si>
    <t>C260</t>
  </si>
  <si>
    <t>P3096</t>
  </si>
  <si>
    <t>FK0240</t>
  </si>
  <si>
    <t>P1117</t>
  </si>
  <si>
    <t>FK0241</t>
  </si>
  <si>
    <t>C623</t>
  </si>
  <si>
    <t>FK0242</t>
  </si>
  <si>
    <t>P3680</t>
  </si>
  <si>
    <t>FK0243</t>
  </si>
  <si>
    <t>C917</t>
  </si>
  <si>
    <t>P8385</t>
  </si>
  <si>
    <t>FK0244</t>
  </si>
  <si>
    <t>C416</t>
  </si>
  <si>
    <t>P5976</t>
  </si>
  <si>
    <t>FK0245</t>
  </si>
  <si>
    <t>C912</t>
  </si>
  <si>
    <t>P6922</t>
  </si>
  <si>
    <t>FK0246</t>
  </si>
  <si>
    <t>P3916</t>
  </si>
  <si>
    <t>FK0247</t>
  </si>
  <si>
    <t>C572</t>
  </si>
  <si>
    <t>P1556</t>
  </si>
  <si>
    <t>FK0248</t>
  </si>
  <si>
    <t>C359</t>
  </si>
  <si>
    <t>P1026</t>
  </si>
  <si>
    <t>FK0249</t>
  </si>
  <si>
    <t>C139</t>
  </si>
  <si>
    <t>P1083</t>
  </si>
  <si>
    <t>FK0250</t>
  </si>
  <si>
    <t>C533</t>
  </si>
  <si>
    <t>FK0251</t>
  </si>
  <si>
    <t>C673</t>
  </si>
  <si>
    <t>P6407</t>
  </si>
  <si>
    <t>FK0252</t>
  </si>
  <si>
    <t>C207</t>
  </si>
  <si>
    <t>P6964</t>
  </si>
  <si>
    <t>FK0253</t>
  </si>
  <si>
    <t>C683</t>
  </si>
  <si>
    <t>P8444</t>
  </si>
  <si>
    <t>FK0254</t>
  </si>
  <si>
    <t>P6593</t>
  </si>
  <si>
    <t>FK0255</t>
  </si>
  <si>
    <t>C766</t>
  </si>
  <si>
    <t>P3200</t>
  </si>
  <si>
    <t>FK0256</t>
  </si>
  <si>
    <t>C621</t>
  </si>
  <si>
    <t>P4884</t>
  </si>
  <si>
    <t>FK0257</t>
  </si>
  <si>
    <t>C890</t>
  </si>
  <si>
    <t>P8953</t>
  </si>
  <si>
    <t>FK0258</t>
  </si>
  <si>
    <t>C486</t>
  </si>
  <si>
    <t>P2270</t>
  </si>
  <si>
    <t>FK0259</t>
  </si>
  <si>
    <t>C261</t>
  </si>
  <si>
    <t>P8687</t>
  </si>
  <si>
    <t>FK0260</t>
  </si>
  <si>
    <t>P3187</t>
  </si>
  <si>
    <t>FK0261</t>
  </si>
  <si>
    <t>C828</t>
  </si>
  <si>
    <t>FK0262</t>
  </si>
  <si>
    <t>C223</t>
  </si>
  <si>
    <t>P1361</t>
  </si>
  <si>
    <t>FK0263</t>
  </si>
  <si>
    <t>P6206</t>
  </si>
  <si>
    <t>FK0264</t>
  </si>
  <si>
    <t>P6110</t>
  </si>
  <si>
    <t>FK0265</t>
  </si>
  <si>
    <t>C516</t>
  </si>
  <si>
    <t>P4185</t>
  </si>
  <si>
    <t>FK0266</t>
  </si>
  <si>
    <t>C296</t>
  </si>
  <si>
    <t>P9703</t>
  </si>
  <si>
    <t>FK0267</t>
  </si>
  <si>
    <t>C993</t>
  </si>
  <si>
    <t>P7277</t>
  </si>
  <si>
    <t>FK0268</t>
  </si>
  <si>
    <t>C307</t>
  </si>
  <si>
    <t>P4218</t>
  </si>
  <si>
    <t>FK0269</t>
  </si>
  <si>
    <t>C470</t>
  </si>
  <si>
    <t>FK0270</t>
  </si>
  <si>
    <t>C368</t>
  </si>
  <si>
    <t>P4814</t>
  </si>
  <si>
    <t>FK0271</t>
  </si>
  <si>
    <t>C751</t>
  </si>
  <si>
    <t>P4702</t>
  </si>
  <si>
    <t>FK0272</t>
  </si>
  <si>
    <t>C824</t>
  </si>
  <si>
    <t>P5362</t>
  </si>
  <si>
    <t>FK0273</t>
  </si>
  <si>
    <t>C478</t>
  </si>
  <si>
    <t>P9611</t>
  </si>
  <si>
    <t>FK0274</t>
  </si>
  <si>
    <t>C558</t>
  </si>
  <si>
    <t>P9125</t>
  </si>
  <si>
    <t>FK0275</t>
  </si>
  <si>
    <t>C972</t>
  </si>
  <si>
    <t>P6863</t>
  </si>
  <si>
    <t>FK0276</t>
  </si>
  <si>
    <t>C754</t>
  </si>
  <si>
    <t>P6103</t>
  </si>
  <si>
    <t>FK0277</t>
  </si>
  <si>
    <t>P8322</t>
  </si>
  <si>
    <t>FK0278</t>
  </si>
  <si>
    <t>C244</t>
  </si>
  <si>
    <t>P5167</t>
  </si>
  <si>
    <t>FK0279</t>
  </si>
  <si>
    <t>C837</t>
  </si>
  <si>
    <t>P9963</t>
  </si>
  <si>
    <t>FK0280</t>
  </si>
  <si>
    <t>P4491</t>
  </si>
  <si>
    <t>FK0281</t>
  </si>
  <si>
    <t>P8663</t>
  </si>
  <si>
    <t>FK0282</t>
  </si>
  <si>
    <t>P8076</t>
  </si>
  <si>
    <t>FK0283</t>
  </si>
  <si>
    <t>C130</t>
  </si>
  <si>
    <t>P2631</t>
  </si>
  <si>
    <t>FK0284</t>
  </si>
  <si>
    <t>FK0285</t>
  </si>
  <si>
    <t>C825</t>
  </si>
  <si>
    <t>P6636</t>
  </si>
  <si>
    <t>FK0286</t>
  </si>
  <si>
    <t>C485</t>
  </si>
  <si>
    <t>P8341</t>
  </si>
  <si>
    <t>FK0287</t>
  </si>
  <si>
    <t>P4094</t>
  </si>
  <si>
    <t>FK0288</t>
  </si>
  <si>
    <t>P8727</t>
  </si>
  <si>
    <t>FK0289</t>
  </si>
  <si>
    <t>C212</t>
  </si>
  <si>
    <t>P1114</t>
  </si>
  <si>
    <t>FK0290</t>
  </si>
  <si>
    <t>P6883</t>
  </si>
  <si>
    <t>FK0291</t>
  </si>
  <si>
    <t>C483</t>
  </si>
  <si>
    <t>P2167</t>
  </si>
  <si>
    <t>FK0292</t>
  </si>
  <si>
    <t>C753</t>
  </si>
  <si>
    <t>P5769</t>
  </si>
  <si>
    <t>FK0293</t>
  </si>
  <si>
    <t>C783</t>
  </si>
  <si>
    <t>P3700</t>
  </si>
  <si>
    <t>FK0294</t>
  </si>
  <si>
    <t>C551</t>
  </si>
  <si>
    <t>P7795</t>
  </si>
  <si>
    <t>FK0295</t>
  </si>
  <si>
    <t>C371</t>
  </si>
  <si>
    <t>P5680</t>
  </si>
  <si>
    <t>FK0296</t>
  </si>
  <si>
    <t>P6273</t>
  </si>
  <si>
    <t>FK0297</t>
  </si>
  <si>
    <t>C961</t>
  </si>
  <si>
    <t>P1152</t>
  </si>
  <si>
    <t>FK0298</t>
  </si>
  <si>
    <t>C703</t>
  </si>
  <si>
    <t>P9839</t>
  </si>
  <si>
    <t>FK0299</t>
  </si>
  <si>
    <t>C203</t>
  </si>
  <si>
    <t>P4810</t>
  </si>
  <si>
    <t>FK0300</t>
  </si>
  <si>
    <t>P7783</t>
  </si>
  <si>
    <t>FK0301</t>
  </si>
  <si>
    <t>C281</t>
  </si>
  <si>
    <t>P4707</t>
  </si>
  <si>
    <t>FK0302</t>
  </si>
  <si>
    <t>C192</t>
  </si>
  <si>
    <t>P5657</t>
  </si>
  <si>
    <t>FK0303</t>
  </si>
  <si>
    <t>C440</t>
  </si>
  <si>
    <t>P5938</t>
  </si>
  <si>
    <t>FK0304</t>
  </si>
  <si>
    <t>C222</t>
  </si>
  <si>
    <t>P8074</t>
  </si>
  <si>
    <t>FK0305</t>
  </si>
  <si>
    <t>C448</t>
  </si>
  <si>
    <t>P3257</t>
  </si>
  <si>
    <t>FK0306</t>
  </si>
  <si>
    <t>C793</t>
  </si>
  <si>
    <t>P9999</t>
  </si>
  <si>
    <t>FK0307</t>
  </si>
  <si>
    <t>P9470</t>
  </si>
  <si>
    <t>FK0308</t>
  </si>
  <si>
    <t>C827</t>
  </si>
  <si>
    <t>P3829</t>
  </si>
  <si>
    <t>FK0309</t>
  </si>
  <si>
    <t>C994</t>
  </si>
  <si>
    <t>P4031</t>
  </si>
  <si>
    <t>FK0310</t>
  </si>
  <si>
    <t>C834</t>
  </si>
  <si>
    <t>P5609</t>
  </si>
  <si>
    <t>FK0311</t>
  </si>
  <si>
    <t>P7306</t>
  </si>
  <si>
    <t>FK0312</t>
  </si>
  <si>
    <t>C887</t>
  </si>
  <si>
    <t>P2571</t>
  </si>
  <si>
    <t>FK0313</t>
  </si>
  <si>
    <t>C816</t>
  </si>
  <si>
    <t>P2177</t>
  </si>
  <si>
    <t>FK0314</t>
  </si>
  <si>
    <t>C252</t>
  </si>
  <si>
    <t>P4291</t>
  </si>
  <si>
    <t>FK0315</t>
  </si>
  <si>
    <t>P8002</t>
  </si>
  <si>
    <t>FK0316</t>
  </si>
  <si>
    <t>C523</t>
  </si>
  <si>
    <t>P4758</t>
  </si>
  <si>
    <t>FK0317</t>
  </si>
  <si>
    <t>C305</t>
  </si>
  <si>
    <t>P1690</t>
  </si>
  <si>
    <t>FK0318</t>
  </si>
  <si>
    <t>P8859</t>
  </si>
  <si>
    <t>FK0319</t>
  </si>
  <si>
    <t>C962</t>
  </si>
  <si>
    <t>P1730</t>
  </si>
  <si>
    <t>FK0320</t>
  </si>
  <si>
    <t>C947</t>
  </si>
  <si>
    <t>P4431</t>
  </si>
  <si>
    <t>FK0321</t>
  </si>
  <si>
    <t>C922</t>
  </si>
  <si>
    <t>P6979</t>
  </si>
  <si>
    <t>FK0322</t>
  </si>
  <si>
    <t>C116</t>
  </si>
  <si>
    <t>P9490</t>
  </si>
  <si>
    <t>FK0323</t>
  </si>
  <si>
    <t>P4284</t>
  </si>
  <si>
    <t>FK0324</t>
  </si>
  <si>
    <t>P4058</t>
  </si>
  <si>
    <t>FK0325</t>
  </si>
  <si>
    <t>P2567</t>
  </si>
  <si>
    <t>FK0326</t>
  </si>
  <si>
    <t>C721</t>
  </si>
  <si>
    <t>P2129</t>
  </si>
  <si>
    <t>FK0327</t>
  </si>
  <si>
    <t>C874</t>
  </si>
  <si>
    <t>P8495</t>
  </si>
  <si>
    <t>FK0328</t>
  </si>
  <si>
    <t>P9509</t>
  </si>
  <si>
    <t>FK0329</t>
  </si>
  <si>
    <t>C811</t>
  </si>
  <si>
    <t>P9716</t>
  </si>
  <si>
    <t>FK0330</t>
  </si>
  <si>
    <t>C231</t>
  </si>
  <si>
    <t>P8373</t>
  </si>
  <si>
    <t>FK0331</t>
  </si>
  <si>
    <t>C967</t>
  </si>
  <si>
    <t>P8180</t>
  </si>
  <si>
    <t>FK0332</t>
  </si>
  <si>
    <t>C418</t>
  </si>
  <si>
    <t>P7049</t>
  </si>
  <si>
    <t>FK0333</t>
  </si>
  <si>
    <t>C743</t>
  </si>
  <si>
    <t>P6548</t>
  </si>
  <si>
    <t>FK0334</t>
  </si>
  <si>
    <t>C844</t>
  </si>
  <si>
    <t>P7545</t>
  </si>
  <si>
    <t>FK0335</t>
  </si>
  <si>
    <t>P4408</t>
  </si>
  <si>
    <t>FK0336</t>
  </si>
  <si>
    <t>C632</t>
  </si>
  <si>
    <t>P2498</t>
  </si>
  <si>
    <t>FK0337</t>
  </si>
  <si>
    <t>P5799</t>
  </si>
  <si>
    <t>FK0338</t>
  </si>
  <si>
    <t>C925</t>
  </si>
  <si>
    <t>P8268</t>
  </si>
  <si>
    <t>FK0339</t>
  </si>
  <si>
    <t>C499</t>
  </si>
  <si>
    <t>P1980</t>
  </si>
  <si>
    <t>FK0340</t>
  </si>
  <si>
    <t>P5566</t>
  </si>
  <si>
    <t>FK0341</t>
  </si>
  <si>
    <t>P7413</t>
  </si>
  <si>
    <t>FK0342</t>
  </si>
  <si>
    <t>C123</t>
  </si>
  <si>
    <t>P2023</t>
  </si>
  <si>
    <t>FK0343</t>
  </si>
  <si>
    <t>P6853</t>
  </si>
  <si>
    <t>FK0344</t>
  </si>
  <si>
    <t>P4570</t>
  </si>
  <si>
    <t>FK0345</t>
  </si>
  <si>
    <t>C660</t>
  </si>
  <si>
    <t>P5683</t>
  </si>
  <si>
    <t>FK0346</t>
  </si>
  <si>
    <t>C492</t>
  </si>
  <si>
    <t>P2649</t>
  </si>
  <si>
    <t>FK0347</t>
  </si>
  <si>
    <t>P9620</t>
  </si>
  <si>
    <t>FK0348</t>
  </si>
  <si>
    <t>C308</t>
  </si>
  <si>
    <t>P8740</t>
  </si>
  <si>
    <t>FK0349</t>
  </si>
  <si>
    <t>C763</t>
  </si>
  <si>
    <t>P9488</t>
  </si>
  <si>
    <t>FK0350</t>
  </si>
  <si>
    <t>P9659</t>
  </si>
  <si>
    <t>FK0351</t>
  </si>
  <si>
    <t>C479</t>
  </si>
  <si>
    <t>P1891</t>
  </si>
  <si>
    <t>FK0352</t>
  </si>
  <si>
    <t>C428</t>
  </si>
  <si>
    <t>P8958</t>
  </si>
  <si>
    <t>FK0353</t>
  </si>
  <si>
    <t>C638</t>
  </si>
  <si>
    <t>P7951</t>
  </si>
  <si>
    <t>FK0354</t>
  </si>
  <si>
    <t>P5811</t>
  </si>
  <si>
    <t>FK0355</t>
  </si>
  <si>
    <t>C480</t>
  </si>
  <si>
    <t>P6190</t>
  </si>
  <si>
    <t>FK0356</t>
  </si>
  <si>
    <t>P4544</t>
  </si>
  <si>
    <t>FK0357</t>
  </si>
  <si>
    <t>C160</t>
  </si>
  <si>
    <t>P8601</t>
  </si>
  <si>
    <t>FK0358</t>
  </si>
  <si>
    <t>P1978</t>
  </si>
  <si>
    <t>FK0359</t>
  </si>
  <si>
    <t>C208</t>
  </si>
  <si>
    <t>P6201</t>
  </si>
  <si>
    <t>FK0360</t>
  </si>
  <si>
    <t>P4559</t>
  </si>
  <si>
    <t>FK0361</t>
  </si>
  <si>
    <t>C956</t>
  </si>
  <si>
    <t>P4084</t>
  </si>
  <si>
    <t>FK0362</t>
  </si>
  <si>
    <t>C345</t>
  </si>
  <si>
    <t>P5801</t>
  </si>
  <si>
    <t>FK0363</t>
  </si>
  <si>
    <t>C489</t>
  </si>
  <si>
    <t>P5344</t>
  </si>
  <si>
    <t>FK0364</t>
  </si>
  <si>
    <t>P8414</t>
  </si>
  <si>
    <t>FK0365</t>
  </si>
  <si>
    <t>C292</t>
  </si>
  <si>
    <t>P2630</t>
  </si>
  <si>
    <t>FK0366</t>
  </si>
  <si>
    <t>P4667</t>
  </si>
  <si>
    <t>FK0367</t>
  </si>
  <si>
    <t>C495</t>
  </si>
  <si>
    <t>P7272</t>
  </si>
  <si>
    <t>FK0368</t>
  </si>
  <si>
    <t>P3420</t>
  </si>
  <si>
    <t>FK0369</t>
  </si>
  <si>
    <t>C476</t>
  </si>
  <si>
    <t>P4542</t>
  </si>
  <si>
    <t>FK0370</t>
  </si>
  <si>
    <t>C850</t>
  </si>
  <si>
    <t>P2620</t>
  </si>
  <si>
    <t>FK0371</t>
  </si>
  <si>
    <t>C403</t>
  </si>
  <si>
    <t>P4252</t>
  </si>
  <si>
    <t>FK0372</t>
  </si>
  <si>
    <t>C135</t>
  </si>
  <si>
    <t>P2430</t>
  </si>
  <si>
    <t>FK0373</t>
  </si>
  <si>
    <t>C254</t>
  </si>
  <si>
    <t>P9235</t>
  </si>
  <si>
    <t>FK0374</t>
  </si>
  <si>
    <t>C607</t>
  </si>
  <si>
    <t>P4394</t>
  </si>
  <si>
    <t>FK0375</t>
  </si>
  <si>
    <t>C522</t>
  </si>
  <si>
    <t>P5728</t>
  </si>
  <si>
    <t>FK0376</t>
  </si>
  <si>
    <t>C391</t>
  </si>
  <si>
    <t>P3383</t>
  </si>
  <si>
    <t>FK0377</t>
  </si>
  <si>
    <t>FK0378</t>
  </si>
  <si>
    <t>P5225</t>
  </si>
  <si>
    <t>FK0379</t>
  </si>
  <si>
    <t>C346</t>
  </si>
  <si>
    <t>P3644</t>
  </si>
  <si>
    <t>FK0380</t>
  </si>
  <si>
    <t>C934</t>
  </si>
  <si>
    <t>P4946</t>
  </si>
  <si>
    <t>FK0381</t>
  </si>
  <si>
    <t>P4303</t>
  </si>
  <si>
    <t>FK0382</t>
  </si>
  <si>
    <t>C320</t>
  </si>
  <si>
    <t>P4345</t>
  </si>
  <si>
    <t>FK0383</t>
  </si>
  <si>
    <t>P6208</t>
  </si>
  <si>
    <t>FK0384</t>
  </si>
  <si>
    <t>P8545</t>
  </si>
  <si>
    <t>FK0385</t>
  </si>
  <si>
    <t>C461</t>
  </si>
  <si>
    <t>P1994</t>
  </si>
  <si>
    <t>FK0386</t>
  </si>
  <si>
    <t>C505</t>
  </si>
  <si>
    <t>P4332</t>
  </si>
  <si>
    <t>FK0387</t>
  </si>
  <si>
    <t>C168</t>
  </si>
  <si>
    <t>P8920</t>
  </si>
  <si>
    <t>FK0388</t>
  </si>
  <si>
    <t>C612</t>
  </si>
  <si>
    <t>P5978</t>
  </si>
  <si>
    <t>FK0389</t>
  </si>
  <si>
    <t>C338</t>
  </si>
  <si>
    <t>P7873</t>
  </si>
  <si>
    <t>FK0390</t>
  </si>
  <si>
    <t>C814</t>
  </si>
  <si>
    <t>FK0391</t>
  </si>
  <si>
    <t>P7362</t>
  </si>
  <si>
    <t>FK0392</t>
  </si>
  <si>
    <t>P2276</t>
  </si>
  <si>
    <t>FK0393</t>
  </si>
  <si>
    <t>P9127</t>
  </si>
  <si>
    <t>FK0394</t>
  </si>
  <si>
    <t>C574</t>
  </si>
  <si>
    <t>P2022</t>
  </si>
  <si>
    <t>FK0395</t>
  </si>
  <si>
    <t>C926</t>
  </si>
  <si>
    <t>P2951</t>
  </si>
  <si>
    <t>FK0396</t>
  </si>
  <si>
    <t>C152</t>
  </si>
  <si>
    <t>P6872</t>
  </si>
  <si>
    <t>FK0397</t>
  </si>
  <si>
    <t>C805</t>
  </si>
  <si>
    <t>P3695</t>
  </si>
  <si>
    <t>FK0398</t>
  </si>
  <si>
    <t>C553</t>
  </si>
  <si>
    <t>P5328</t>
  </si>
  <si>
    <t>FK0399</t>
  </si>
  <si>
    <t>C968</t>
  </si>
  <si>
    <t>P3532</t>
  </si>
  <si>
    <t>FK0400</t>
  </si>
  <si>
    <t>C724</t>
  </si>
  <si>
    <t>P1649</t>
  </si>
  <si>
    <t>FK0401</t>
  </si>
  <si>
    <t>P7816</t>
  </si>
  <si>
    <t>FK0402</t>
  </si>
  <si>
    <t>C643</t>
  </si>
  <si>
    <t>P1385</t>
  </si>
  <si>
    <t>FK0403</t>
  </si>
  <si>
    <t>C849</t>
  </si>
  <si>
    <t>P5066</t>
  </si>
  <si>
    <t>FK0404</t>
  </si>
  <si>
    <t>C504</t>
  </si>
  <si>
    <t>P4545</t>
  </si>
  <si>
    <t>FK0405</t>
  </si>
  <si>
    <t>C878</t>
  </si>
  <si>
    <t>P5501</t>
  </si>
  <si>
    <t>FK0406</t>
  </si>
  <si>
    <t>C877</t>
  </si>
  <si>
    <t>P8981</t>
  </si>
  <si>
    <t>FK0407</t>
  </si>
  <si>
    <t>P3343</t>
  </si>
  <si>
    <t>FK0408</t>
  </si>
  <si>
    <t>C464</t>
  </si>
  <si>
    <t>P7687</t>
  </si>
  <si>
    <t>FK0409</t>
  </si>
  <si>
    <t>P8463</t>
  </si>
  <si>
    <t>FK0410</t>
  </si>
  <si>
    <t>C274</t>
  </si>
  <si>
    <t>FK0411</t>
  </si>
  <si>
    <t>P9369</t>
  </si>
  <si>
    <t>FK0412</t>
  </si>
  <si>
    <t>C839</t>
  </si>
  <si>
    <t>P7455</t>
  </si>
  <si>
    <t>FK0413</t>
  </si>
  <si>
    <t>C775</t>
  </si>
  <si>
    <t>P6935</t>
  </si>
  <si>
    <t>FK0414</t>
  </si>
  <si>
    <t>C257</t>
  </si>
  <si>
    <t>P5540</t>
  </si>
  <si>
    <t>FK0415</t>
  </si>
  <si>
    <t>C840</t>
  </si>
  <si>
    <t>P5272</t>
  </si>
  <si>
    <t>FK0416</t>
  </si>
  <si>
    <t>C148</t>
  </si>
  <si>
    <t>P1480</t>
  </si>
  <si>
    <t>FK0417</t>
  </si>
  <si>
    <t>C744</t>
  </si>
  <si>
    <t>P9321</t>
  </si>
  <si>
    <t>FK0418</t>
  </si>
  <si>
    <t>P3701</t>
  </si>
  <si>
    <t>FK0419</t>
  </si>
  <si>
    <t>C587</t>
  </si>
  <si>
    <t>P9091</t>
  </si>
  <si>
    <t>FK0420</t>
  </si>
  <si>
    <t>C445</t>
  </si>
  <si>
    <t>P8733</t>
  </si>
  <si>
    <t>FK0421</t>
  </si>
  <si>
    <t>P1759</t>
  </si>
  <si>
    <t>FK0422</t>
  </si>
  <si>
    <t>P9862</t>
  </si>
  <si>
    <t>FK0423</t>
  </si>
  <si>
    <t>C697</t>
  </si>
  <si>
    <t>P8822</t>
  </si>
  <si>
    <t>FK0424</t>
  </si>
  <si>
    <t>C704</t>
  </si>
  <si>
    <t>P8292</t>
  </si>
  <si>
    <t>FK0425</t>
  </si>
  <si>
    <t>C427</t>
  </si>
  <si>
    <t>P9587</t>
  </si>
  <si>
    <t>FK0426</t>
  </si>
  <si>
    <t>C532</t>
  </si>
  <si>
    <t>P7837</t>
  </si>
  <si>
    <t>FK0427</t>
  </si>
  <si>
    <t>C559</t>
  </si>
  <si>
    <t>FK0428</t>
  </si>
  <si>
    <t>P9961</t>
  </si>
  <si>
    <t>FK0429</t>
  </si>
  <si>
    <t>C561</t>
  </si>
  <si>
    <t>P8589</t>
  </si>
  <si>
    <t>FK0430</t>
  </si>
  <si>
    <t>C537</t>
  </si>
  <si>
    <t>P8331</t>
  </si>
  <si>
    <t>FK0431</t>
  </si>
  <si>
    <t>C892</t>
  </si>
  <si>
    <t>P4093</t>
  </si>
  <si>
    <t>FK0432</t>
  </si>
  <si>
    <t>C733</t>
  </si>
  <si>
    <t>P2465</t>
  </si>
  <si>
    <t>FK0433</t>
  </si>
  <si>
    <t>C540</t>
  </si>
  <si>
    <t>P3623</t>
  </si>
  <si>
    <t>FK0434</t>
  </si>
  <si>
    <t>C568</t>
  </si>
  <si>
    <t>P4654</t>
  </si>
  <si>
    <t>FK0435</t>
  </si>
  <si>
    <t>C842</t>
  </si>
  <si>
    <t>FK0436</t>
  </si>
  <si>
    <t>C671</t>
  </si>
  <si>
    <t>P8176</t>
  </si>
  <si>
    <t>FK0437</t>
  </si>
  <si>
    <t>C577</t>
  </si>
  <si>
    <t>P1129</t>
  </si>
  <si>
    <t>FK0438</t>
  </si>
  <si>
    <t>C115</t>
  </si>
  <si>
    <t>P7090</t>
  </si>
  <si>
    <t>FK0439</t>
  </si>
  <si>
    <t>C165</t>
  </si>
  <si>
    <t>P6394</t>
  </si>
  <si>
    <t>FK0440</t>
  </si>
  <si>
    <t>C132</t>
  </si>
  <si>
    <t>P3604</t>
  </si>
  <si>
    <t>FK0441</t>
  </si>
  <si>
    <t>C454</t>
  </si>
  <si>
    <t>P7500</t>
  </si>
  <si>
    <t>FK0442</t>
  </si>
  <si>
    <t>C167</t>
  </si>
  <si>
    <t>P8139</t>
  </si>
  <si>
    <t>FK0443</t>
  </si>
  <si>
    <t>C603</t>
  </si>
  <si>
    <t>P7553</t>
  </si>
  <si>
    <t>FK0444</t>
  </si>
  <si>
    <t>C931</t>
  </si>
  <si>
    <t>P5551</t>
  </si>
  <si>
    <t>FK0445</t>
  </si>
  <si>
    <t>C633</t>
  </si>
  <si>
    <t>P2994</t>
  </si>
  <si>
    <t>FK0446</t>
  </si>
  <si>
    <t>C436</t>
  </si>
  <si>
    <t>P4399</t>
  </si>
  <si>
    <t>FK0447</t>
  </si>
  <si>
    <t>P4652</t>
  </si>
  <si>
    <t>FK0448</t>
  </si>
  <si>
    <t>C944</t>
  </si>
  <si>
    <t>P7517</t>
  </si>
  <si>
    <t>FK0449</t>
  </si>
  <si>
    <t>P5815</t>
  </si>
  <si>
    <t>FK0450</t>
  </si>
  <si>
    <t>C538</t>
  </si>
  <si>
    <t>P8959</t>
  </si>
  <si>
    <t>FK0451</t>
  </si>
  <si>
    <t>P7744</t>
  </si>
  <si>
    <t>FK0452</t>
  </si>
  <si>
    <t>P8483</t>
  </si>
  <si>
    <t>FK0453</t>
  </si>
  <si>
    <t>P1378</t>
  </si>
  <si>
    <t>FK0454</t>
  </si>
  <si>
    <t>C335</t>
  </si>
  <si>
    <t>P1267</t>
  </si>
  <si>
    <t>FK0455</t>
  </si>
  <si>
    <t>P9534</t>
  </si>
  <si>
    <t>FK0456</t>
  </si>
  <si>
    <t>C846</t>
  </si>
  <si>
    <t>P1836</t>
  </si>
  <si>
    <t>FK0457</t>
  </si>
  <si>
    <t>C174</t>
  </si>
  <si>
    <t>P5138</t>
  </si>
  <si>
    <t>FK0458</t>
  </si>
  <si>
    <t>C194</t>
  </si>
  <si>
    <t>P8344</t>
  </si>
  <si>
    <t>FK0459</t>
  </si>
  <si>
    <t>P4202</t>
  </si>
  <si>
    <t>FK0460</t>
  </si>
  <si>
    <t>P7550</t>
  </si>
  <si>
    <t>FK0461</t>
  </si>
  <si>
    <t>P6544</t>
  </si>
  <si>
    <t>FK0462</t>
  </si>
  <si>
    <t>P9378</t>
  </si>
  <si>
    <t>FK0463</t>
  </si>
  <si>
    <t>FK0464</t>
  </si>
  <si>
    <t>P2590</t>
  </si>
  <si>
    <t>FK0465</t>
  </si>
  <si>
    <t>P3112</t>
  </si>
  <si>
    <t>FK0466</t>
  </si>
  <si>
    <t>C644</t>
  </si>
  <si>
    <t>P4982</t>
  </si>
  <si>
    <t>FK0467</t>
  </si>
  <si>
    <t>P3523</t>
  </si>
  <si>
    <t>FK0468</t>
  </si>
  <si>
    <t>C832</t>
  </si>
  <si>
    <t>P2459</t>
  </si>
  <si>
    <t>FK0469</t>
  </si>
  <si>
    <t>P7607</t>
  </si>
  <si>
    <t>FK0470</t>
  </si>
  <si>
    <t>P5105</t>
  </si>
  <si>
    <t>FK0471</t>
  </si>
  <si>
    <t>C323</t>
  </si>
  <si>
    <t>P4186</t>
  </si>
  <si>
    <t>FK0472</t>
  </si>
  <si>
    <t>C109</t>
  </si>
  <si>
    <t>P5011</t>
  </si>
  <si>
    <t>FK0473</t>
  </si>
  <si>
    <t>C728</t>
  </si>
  <si>
    <t>P6484</t>
  </si>
  <si>
    <t>FK0474</t>
  </si>
  <si>
    <t>C336</t>
  </si>
  <si>
    <t>P4860</t>
  </si>
  <si>
    <t>FK0475</t>
  </si>
  <si>
    <t>C202</t>
  </si>
  <si>
    <t>P8971</t>
  </si>
  <si>
    <t>FK0476</t>
  </si>
  <si>
    <t>P8182</t>
  </si>
  <si>
    <t>FK0477</t>
  </si>
  <si>
    <t>P9343</t>
  </si>
  <si>
    <t>FK0478</t>
  </si>
  <si>
    <t>C118</t>
  </si>
  <si>
    <t>P6260</t>
  </si>
  <si>
    <t>FK0479</t>
  </si>
  <si>
    <t>C667</t>
  </si>
  <si>
    <t>P5760</t>
  </si>
  <si>
    <t>FK0480</t>
  </si>
  <si>
    <t>P5930</t>
  </si>
  <si>
    <t>FK0481</t>
  </si>
  <si>
    <t>P7843</t>
  </si>
  <si>
    <t>FK0482</t>
  </si>
  <si>
    <t>C701</t>
  </si>
  <si>
    <t>P8624</t>
  </si>
  <si>
    <t>FK0483</t>
  </si>
  <si>
    <t>P8354</t>
  </si>
  <si>
    <t>FK0484</t>
  </si>
  <si>
    <t>C737</t>
  </si>
  <si>
    <t>P9186</t>
  </si>
  <si>
    <t>FK0485</t>
  </si>
  <si>
    <t>P2326</t>
  </si>
  <si>
    <t>FK0486</t>
  </si>
  <si>
    <t>C438</t>
  </si>
  <si>
    <t>P6995</t>
  </si>
  <si>
    <t>FK0487</t>
  </si>
  <si>
    <t>P3423</t>
  </si>
  <si>
    <t>FK0488</t>
  </si>
  <si>
    <t>C425</t>
  </si>
  <si>
    <t>P6105</t>
  </si>
  <si>
    <t>FK0489</t>
  </si>
  <si>
    <t>C790</t>
  </si>
  <si>
    <t>P6581</t>
  </si>
  <si>
    <t>FK0490</t>
  </si>
  <si>
    <t>C534</t>
  </si>
  <si>
    <t>FK0491</t>
  </si>
  <si>
    <t>C718</t>
  </si>
  <si>
    <t>P5140</t>
  </si>
  <si>
    <t>FK0492</t>
  </si>
  <si>
    <t>P9122</t>
  </si>
  <si>
    <t>FK0493</t>
  </si>
  <si>
    <t>C826</t>
  </si>
  <si>
    <t>P9972</t>
  </si>
  <si>
    <t>FK0494</t>
  </si>
  <si>
    <t>C745</t>
  </si>
  <si>
    <t>P8460</t>
  </si>
  <si>
    <t>FK0495</t>
  </si>
  <si>
    <t>C271</t>
  </si>
  <si>
    <t>P1746</t>
  </si>
  <si>
    <t>FK0496</t>
  </si>
  <si>
    <t>C367</t>
  </si>
  <si>
    <t>P5115</t>
  </si>
  <si>
    <t>FK0497</t>
  </si>
  <si>
    <t>P8751</t>
  </si>
  <si>
    <t>FK0498</t>
  </si>
  <si>
    <t>P8584</t>
  </si>
  <si>
    <t>FK0499</t>
  </si>
  <si>
    <t>C131</t>
  </si>
  <si>
    <t>P6655</t>
  </si>
  <si>
    <t>FK0500</t>
  </si>
  <si>
    <t>P3170</t>
  </si>
  <si>
    <t>FK0501</t>
  </si>
  <si>
    <t>P8266</t>
  </si>
  <si>
    <t>FK0502</t>
  </si>
  <si>
    <t>FK0503</t>
  </si>
  <si>
    <t>C950</t>
  </si>
  <si>
    <t>P4164</t>
  </si>
  <si>
    <t>FK0504</t>
  </si>
  <si>
    <t>P2710</t>
  </si>
  <si>
    <t>FK0505</t>
  </si>
  <si>
    <t>C126</t>
  </si>
  <si>
    <t>P6760</t>
  </si>
  <si>
    <t>FK0506</t>
  </si>
  <si>
    <t>C184</t>
  </si>
  <si>
    <t>FK0507</t>
  </si>
  <si>
    <t>C173</t>
  </si>
  <si>
    <t>P2235</t>
  </si>
  <si>
    <t>FK0508</t>
  </si>
  <si>
    <t>P7881</t>
  </si>
  <si>
    <t>FK0509</t>
  </si>
  <si>
    <t>C970</t>
  </si>
  <si>
    <t>P3478</t>
  </si>
  <si>
    <t>FK0510</t>
  </si>
  <si>
    <t>P3097</t>
  </si>
  <si>
    <t>FK0511</t>
  </si>
  <si>
    <t>FK0512</t>
  </si>
  <si>
    <t>C474</t>
  </si>
  <si>
    <t>P2410</t>
  </si>
  <si>
    <t>FK0513</t>
  </si>
  <si>
    <t>C883</t>
  </si>
  <si>
    <t>P5765</t>
  </si>
  <si>
    <t>FK0514</t>
  </si>
  <si>
    <t>P9257</t>
  </si>
  <si>
    <t>FK0515</t>
  </si>
  <si>
    <t>P5557</t>
  </si>
  <si>
    <t>FK0516</t>
  </si>
  <si>
    <t>P3966</t>
  </si>
  <si>
    <t>FK0517</t>
  </si>
  <si>
    <t>P5145</t>
  </si>
  <si>
    <t>FK0518</t>
  </si>
  <si>
    <t>P8055</t>
  </si>
  <si>
    <t>FK0519</t>
  </si>
  <si>
    <t>C149</t>
  </si>
  <si>
    <t>P9166</t>
  </si>
  <si>
    <t>FK0520</t>
  </si>
  <si>
    <t>C382</t>
  </si>
  <si>
    <t>P6740</t>
  </si>
  <si>
    <t>FK0521</t>
  </si>
  <si>
    <t>C729</t>
  </si>
  <si>
    <t>P7794</t>
  </si>
  <si>
    <t>FK0522</t>
  </si>
  <si>
    <t>P3932</t>
  </si>
  <si>
    <t>FK0523</t>
  </si>
  <si>
    <t>P3915</t>
  </si>
  <si>
    <t>FK0524</t>
  </si>
  <si>
    <t>C143</t>
  </si>
  <si>
    <t>P6836</t>
  </si>
  <si>
    <t>FK0525</t>
  </si>
  <si>
    <t>P3376</t>
  </si>
  <si>
    <t>FK0526</t>
  </si>
  <si>
    <t>P7976</t>
  </si>
  <si>
    <t>FK0527</t>
  </si>
  <si>
    <t>C710</t>
  </si>
  <si>
    <t>P4013</t>
  </si>
  <si>
    <t>FK0528</t>
  </si>
  <si>
    <t>C521</t>
  </si>
  <si>
    <t>P1085</t>
  </si>
  <si>
    <t>FK0529</t>
  </si>
  <si>
    <t>P8886</t>
  </si>
  <si>
    <t>FK0530</t>
  </si>
  <si>
    <t>C749</t>
  </si>
  <si>
    <t>P9234</t>
  </si>
  <si>
    <t>FK0531</t>
  </si>
  <si>
    <t>C916</t>
  </si>
  <si>
    <t>P6226</t>
  </si>
  <si>
    <t>FK0532</t>
  </si>
  <si>
    <t>P7625</t>
  </si>
  <si>
    <t>FK0533</t>
  </si>
  <si>
    <t>C711</t>
  </si>
  <si>
    <t>P9968</t>
  </si>
  <si>
    <t>FK0534</t>
  </si>
  <si>
    <t>P9463</t>
  </si>
  <si>
    <t>FK0535</t>
  </si>
  <si>
    <t>P2614</t>
  </si>
  <si>
    <t>FK0536</t>
  </si>
  <si>
    <t>C145</t>
  </si>
  <si>
    <t>P5940</t>
  </si>
  <si>
    <t>FK0537</t>
  </si>
  <si>
    <t>C253</t>
  </si>
  <si>
    <t>P3016</t>
  </si>
  <si>
    <t>FK0538</t>
  </si>
  <si>
    <t>C654</t>
  </si>
  <si>
    <t>P4733</t>
  </si>
  <si>
    <t>FK0539</t>
  </si>
  <si>
    <t>P7530</t>
  </si>
  <si>
    <t>FK0540</t>
  </si>
  <si>
    <t>C952</t>
  </si>
  <si>
    <t>P5790</t>
  </si>
  <si>
    <t>FK0541</t>
  </si>
  <si>
    <t>C129</t>
  </si>
  <si>
    <t>P7424</t>
  </si>
  <si>
    <t>FK0542</t>
  </si>
  <si>
    <t>P7847</t>
  </si>
  <si>
    <t>FK0543</t>
  </si>
  <si>
    <t>C433</t>
  </si>
  <si>
    <t>P8360</t>
  </si>
  <si>
    <t>FK0544</t>
  </si>
  <si>
    <t>C491</t>
  </si>
  <si>
    <t>P6717</t>
  </si>
  <si>
    <t>FK0545</t>
  </si>
  <si>
    <t>P1837</t>
  </si>
  <si>
    <t>FK0546</t>
  </si>
  <si>
    <t>C923</t>
  </si>
  <si>
    <t>P1601</t>
  </si>
  <si>
    <t>FK0547</t>
  </si>
  <si>
    <t>P2059</t>
  </si>
  <si>
    <t>FK0548</t>
  </si>
  <si>
    <t>C852</t>
  </si>
  <si>
    <t>P8716</t>
  </si>
  <si>
    <t>FK0549</t>
  </si>
  <si>
    <t>C471</t>
  </si>
  <si>
    <t>P1134</t>
  </si>
  <si>
    <t>FK0550</t>
  </si>
  <si>
    <t>P6679</t>
  </si>
  <si>
    <t>FK0551</t>
  </si>
  <si>
    <t>C117</t>
  </si>
  <si>
    <t>P3873</t>
  </si>
  <si>
    <t>FK0552</t>
  </si>
  <si>
    <t>P2552</t>
  </si>
  <si>
    <t>FK0553</t>
  </si>
  <si>
    <t>C319</t>
  </si>
  <si>
    <t>P7955</t>
  </si>
  <si>
    <t>FK0554</t>
  </si>
  <si>
    <t>C383</t>
  </si>
  <si>
    <t>P7641</t>
  </si>
  <si>
    <t>FK0555</t>
  </si>
  <si>
    <t>P5186</t>
  </si>
  <si>
    <t>FK0556</t>
  </si>
  <si>
    <t>P7597</t>
  </si>
  <si>
    <t>FK0557</t>
  </si>
  <si>
    <t>P1715</t>
  </si>
  <si>
    <t>FK0558</t>
  </si>
  <si>
    <t>P3208</t>
  </si>
  <si>
    <t>FK0559</t>
  </si>
  <si>
    <t>C788</t>
  </si>
  <si>
    <t>P1280</t>
  </si>
  <si>
    <t>FK0560</t>
  </si>
  <si>
    <t>C488</t>
  </si>
  <si>
    <t>P1299</t>
  </si>
  <si>
    <t>FK0561</t>
  </si>
  <si>
    <t>C219</t>
  </si>
  <si>
    <t>P9317</t>
  </si>
  <si>
    <t>FK0562</t>
  </si>
  <si>
    <t>C798</t>
  </si>
  <si>
    <t>P3285</t>
  </si>
  <si>
    <t>FK0563</t>
  </si>
  <si>
    <t>FK0564</t>
  </si>
  <si>
    <t>P1686</t>
  </si>
  <si>
    <t>FK0565</t>
  </si>
  <si>
    <t>C615</t>
  </si>
  <si>
    <t>P6880</t>
  </si>
  <si>
    <t>FK0566</t>
  </si>
  <si>
    <t>C958</t>
  </si>
  <si>
    <t>P5236</t>
  </si>
  <si>
    <t>FK0567</t>
  </si>
  <si>
    <t>FK0568</t>
  </si>
  <si>
    <t>C229</t>
  </si>
  <si>
    <t>P6947</t>
  </si>
  <si>
    <t>FK0569</t>
  </si>
  <si>
    <t>P6314</t>
  </si>
  <si>
    <t>FK0570</t>
  </si>
  <si>
    <t>C586</t>
  </si>
  <si>
    <t>P8732</t>
  </si>
  <si>
    <t>FK0571</t>
  </si>
  <si>
    <t>P8707</t>
  </si>
  <si>
    <t>FK0572</t>
  </si>
  <si>
    <t>C625</t>
  </si>
  <si>
    <t>P8298</t>
  </si>
  <si>
    <t>FK0573</t>
  </si>
  <si>
    <t>C670</t>
  </si>
  <si>
    <t>P5947</t>
  </si>
  <si>
    <t>FK0574</t>
  </si>
  <si>
    <t>P4146</t>
  </si>
  <si>
    <t>FK0575</t>
  </si>
  <si>
    <t>C235</t>
  </si>
  <si>
    <t>P4388</t>
  </si>
  <si>
    <t>FK0576</t>
  </si>
  <si>
    <t>P1107</t>
  </si>
  <si>
    <t>FK0577</t>
  </si>
  <si>
    <t>C725</t>
  </si>
  <si>
    <t>P4113</t>
  </si>
  <si>
    <t>FK0578</t>
  </si>
  <si>
    <t>C987</t>
  </si>
  <si>
    <t>P8888</t>
  </si>
  <si>
    <t>FK0579</t>
  </si>
  <si>
    <t>P8465</t>
  </si>
  <si>
    <t>FK0580</t>
  </si>
  <si>
    <t>C995</t>
  </si>
  <si>
    <t>P1785</t>
  </si>
  <si>
    <t>FK0581</t>
  </si>
  <si>
    <t>P3898</t>
  </si>
  <si>
    <t>FK0582</t>
  </si>
  <si>
    <t>C412</t>
  </si>
  <si>
    <t>P4221</t>
  </si>
  <si>
    <t>FK0583</t>
  </si>
  <si>
    <t>P2723</t>
  </si>
  <si>
    <t>FK0584</t>
  </si>
  <si>
    <t>C565</t>
  </si>
  <si>
    <t>P5172</t>
  </si>
  <si>
    <t>FK0585</t>
  </si>
  <si>
    <t>C786</t>
  </si>
  <si>
    <t>P5402</t>
  </si>
  <si>
    <t>FK0586</t>
  </si>
  <si>
    <t>C871</t>
  </si>
  <si>
    <t>P5918</t>
  </si>
  <si>
    <t>FK0587</t>
  </si>
  <si>
    <t>C288</t>
  </si>
  <si>
    <t>P5285</t>
  </si>
  <si>
    <t>FK0588</t>
  </si>
  <si>
    <t>C726</t>
  </si>
  <si>
    <t>P2258</t>
  </si>
  <si>
    <t>FK0589</t>
  </si>
  <si>
    <t>C284</t>
  </si>
  <si>
    <t>P5653</t>
  </si>
  <si>
    <t>FK0590</t>
  </si>
  <si>
    <t>C380</t>
  </si>
  <si>
    <t>P1737</t>
  </si>
  <si>
    <t>FK0591</t>
  </si>
  <si>
    <t>P6889</t>
  </si>
  <si>
    <t>FK0592</t>
  </si>
  <si>
    <t>C676</t>
  </si>
  <si>
    <t>P2318</t>
  </si>
  <si>
    <t>FK0593</t>
  </si>
  <si>
    <t>P5982</t>
  </si>
  <si>
    <t>FK0594</t>
  </si>
  <si>
    <t>C302</t>
  </si>
  <si>
    <t>P6142</t>
  </si>
  <si>
    <t>FK0595</t>
  </si>
  <si>
    <t>P2064</t>
  </si>
  <si>
    <t>FK0596</t>
  </si>
  <si>
    <t>C113</t>
  </si>
  <si>
    <t>P5006</t>
  </si>
  <si>
    <t>FK0597</t>
  </si>
  <si>
    <t>P7730</t>
  </si>
  <si>
    <t>FK0598</t>
  </si>
  <si>
    <t>C879</t>
  </si>
  <si>
    <t>P4313</t>
  </si>
  <si>
    <t>FK0599</t>
  </si>
  <si>
    <t>P7956</t>
  </si>
  <si>
    <t>FK0600</t>
  </si>
  <si>
    <t>P7320</t>
  </si>
  <si>
    <t>FK0601</t>
  </si>
  <si>
    <t>C885</t>
  </si>
  <si>
    <t>P3309</t>
  </si>
  <si>
    <t>FK0602</t>
  </si>
  <si>
    <t>P9895</t>
  </si>
  <si>
    <t>FK0603</t>
  </si>
  <si>
    <t>P1907</t>
  </si>
  <si>
    <t>FK0604</t>
  </si>
  <si>
    <t>P1279</t>
  </si>
  <si>
    <t>FK0605</t>
  </si>
  <si>
    <t>C262</t>
  </si>
  <si>
    <t>P6144</t>
  </si>
  <si>
    <t>FK0606</t>
  </si>
  <si>
    <t>P5955</t>
  </si>
  <si>
    <t>FK0607</t>
  </si>
  <si>
    <t>P5900</t>
  </si>
  <si>
    <t>FK0608</t>
  </si>
  <si>
    <t>P8870</t>
  </si>
  <si>
    <t>FK0609</t>
  </si>
  <si>
    <t>P9593</t>
  </si>
  <si>
    <t>FK0610</t>
  </si>
  <si>
    <t>C106</t>
  </si>
  <si>
    <t>P1020</t>
  </si>
  <si>
    <t>FK0611</t>
  </si>
  <si>
    <t>C595</t>
  </si>
  <si>
    <t>P5270</t>
  </si>
  <si>
    <t>FK0612</t>
  </si>
  <si>
    <t>P8240</t>
  </si>
  <si>
    <t>FK0613</t>
  </si>
  <si>
    <t>C463</t>
  </si>
  <si>
    <t>P4586</t>
  </si>
  <si>
    <t>FK0614</t>
  </si>
  <si>
    <t>FK0615</t>
  </si>
  <si>
    <t>C166</t>
  </si>
  <si>
    <t>P1155</t>
  </si>
  <si>
    <t>FK0616</t>
  </si>
  <si>
    <t>C777</t>
  </si>
  <si>
    <t>P6568</t>
  </si>
  <si>
    <t>FK0617</t>
  </si>
  <si>
    <t>C938</t>
  </si>
  <si>
    <t>FK0618</t>
  </si>
  <si>
    <t>C414</t>
  </si>
  <si>
    <t>P9699</t>
  </si>
  <si>
    <t>FK0619</t>
  </si>
  <si>
    <t>P5133</t>
  </si>
  <si>
    <t>FK0620</t>
  </si>
  <si>
    <t>P6874</t>
  </si>
  <si>
    <t>FK0621</t>
  </si>
  <si>
    <t>P8208</t>
  </si>
  <si>
    <t>FK0622</t>
  </si>
  <si>
    <t>C381</t>
  </si>
  <si>
    <t>P4258</t>
  </si>
  <si>
    <t>FK0623</t>
  </si>
  <si>
    <t>C588</t>
  </si>
  <si>
    <t>P2719</t>
  </si>
  <si>
    <t>FK0624</t>
  </si>
  <si>
    <t>P9403</t>
  </si>
  <si>
    <t>FK0625</t>
  </si>
  <si>
    <t>P9004</t>
  </si>
  <si>
    <t>FK0626</t>
  </si>
  <si>
    <t>C734</t>
  </si>
  <si>
    <t>P3457</t>
  </si>
  <si>
    <t>FK0627</t>
  </si>
  <si>
    <t>P5405</t>
  </si>
  <si>
    <t>FK0628</t>
  </si>
  <si>
    <t>P8058</t>
  </si>
  <si>
    <t>FK0629</t>
  </si>
  <si>
    <t>P3698</t>
  </si>
  <si>
    <t>FK0630</t>
  </si>
  <si>
    <t>P5983</t>
  </si>
  <si>
    <t>FK0631</t>
  </si>
  <si>
    <t>P3513</t>
  </si>
  <si>
    <t>FK0632</t>
  </si>
  <si>
    <t>P3756</t>
  </si>
  <si>
    <t>FK0633</t>
  </si>
  <si>
    <t>C360</t>
  </si>
  <si>
    <t>P3645</t>
  </si>
  <si>
    <t>FK0634</t>
  </si>
  <si>
    <t>P6675</t>
  </si>
  <si>
    <t>FK0635</t>
  </si>
  <si>
    <t>C502</t>
  </si>
  <si>
    <t>P5141</t>
  </si>
  <si>
    <t>FK0636</t>
  </si>
  <si>
    <t>P7109</t>
  </si>
  <si>
    <t>FK0637</t>
  </si>
  <si>
    <t>C146</t>
  </si>
  <si>
    <t>P8154</t>
  </si>
  <si>
    <t>FK0638</t>
  </si>
  <si>
    <t>P5361</t>
  </si>
  <si>
    <t>FK0639</t>
  </si>
  <si>
    <t>C975</t>
  </si>
  <si>
    <t>P6453</t>
  </si>
  <si>
    <t>FK0640</t>
  </si>
  <si>
    <t>P2931</t>
  </si>
  <si>
    <t>FK0641</t>
  </si>
  <si>
    <t>P2511</t>
  </si>
  <si>
    <t>FK0642</t>
  </si>
  <si>
    <t>C352</t>
  </si>
  <si>
    <t>P6569</t>
  </si>
  <si>
    <t>FK0643</t>
  </si>
  <si>
    <t>P2198</t>
  </si>
  <si>
    <t>FK0644</t>
  </si>
  <si>
    <t>P7436</t>
  </si>
  <si>
    <t>FK0645</t>
  </si>
  <si>
    <t>C344</t>
  </si>
  <si>
    <t>P7007</t>
  </si>
  <si>
    <t>FK0646</t>
  </si>
  <si>
    <t>C273</t>
  </si>
  <si>
    <t>P8839</t>
  </si>
  <si>
    <t>FK0647</t>
  </si>
  <si>
    <t>C201</t>
  </si>
  <si>
    <t>P6682</t>
  </si>
  <si>
    <t>FK0648</t>
  </si>
  <si>
    <t>P3110</t>
  </si>
  <si>
    <t>FK0649</t>
  </si>
  <si>
    <t>C868</t>
  </si>
  <si>
    <t>P3603</t>
  </si>
  <si>
    <t>FK0650</t>
  </si>
  <si>
    <t>P9819</t>
  </si>
  <si>
    <t>FK0651</t>
  </si>
  <si>
    <t>C230</t>
  </si>
  <si>
    <t>P4583</t>
  </si>
  <si>
    <t>FK0652</t>
  </si>
  <si>
    <t>P5462</t>
  </si>
  <si>
    <t>FK0653</t>
  </si>
  <si>
    <t>C648</t>
  </si>
  <si>
    <t>FK0654</t>
  </si>
  <si>
    <t>C251</t>
  </si>
  <si>
    <t>P8894</t>
  </si>
  <si>
    <t>FK0655</t>
  </si>
  <si>
    <t>C333</t>
  </si>
  <si>
    <t>P1034</t>
  </si>
  <si>
    <t>FK0656</t>
  </si>
  <si>
    <t>FK0657</t>
  </si>
  <si>
    <t>P2425</t>
  </si>
  <si>
    <t>FK0658</t>
  </si>
  <si>
    <t>C259</t>
  </si>
  <si>
    <t>P7611</t>
  </si>
  <si>
    <t>FK0659</t>
  </si>
  <si>
    <t>FK0660</t>
  </si>
  <si>
    <t>P8728</t>
  </si>
  <si>
    <t>FK0661</t>
  </si>
  <si>
    <t>P8614</t>
  </si>
  <si>
    <t>FK0662</t>
  </si>
  <si>
    <t>C715</t>
  </si>
  <si>
    <t>P4584</t>
  </si>
  <si>
    <t>FK0663</t>
  </si>
  <si>
    <t>C668</t>
  </si>
  <si>
    <t>P7347</t>
  </si>
  <si>
    <t>FK0664</t>
  </si>
  <si>
    <t>P3962</t>
  </si>
  <si>
    <t>FK0665</t>
  </si>
  <si>
    <t>C767</t>
  </si>
  <si>
    <t>P6459</t>
  </si>
  <si>
    <t>FK0666</t>
  </si>
  <si>
    <t>C549</t>
  </si>
  <si>
    <t>P1650</t>
  </si>
  <si>
    <t>FK0667</t>
  </si>
  <si>
    <t>P7968</t>
  </si>
  <si>
    <t>FK0668</t>
  </si>
  <si>
    <t>P1094</t>
  </si>
  <si>
    <t>FK0669</t>
  </si>
  <si>
    <t>P8216</t>
  </si>
  <si>
    <t>FK0670</t>
  </si>
  <si>
    <t>C914</t>
  </si>
  <si>
    <t>P9464</t>
  </si>
  <si>
    <t>FK0671</t>
  </si>
  <si>
    <t>P1357</t>
  </si>
  <si>
    <t>FK0672</t>
  </si>
  <si>
    <t>C677</t>
  </si>
  <si>
    <t>FK0673</t>
  </si>
  <si>
    <t>P1450</t>
  </si>
  <si>
    <t>FK0674</t>
  </si>
  <si>
    <t>C799</t>
  </si>
  <si>
    <t>P6614</t>
  </si>
  <si>
    <t>FK0675</t>
  </si>
  <si>
    <t>C720</t>
  </si>
  <si>
    <t>FK0676</t>
  </si>
  <si>
    <t>P2379</t>
  </si>
  <si>
    <t>FK0677</t>
  </si>
  <si>
    <t>P8487</t>
  </si>
  <si>
    <t>FK0678</t>
  </si>
  <si>
    <t>C735</t>
  </si>
  <si>
    <t>P1132</t>
  </si>
  <si>
    <t>FK0679</t>
  </si>
  <si>
    <t>C905</t>
  </si>
  <si>
    <t>P9907</t>
  </si>
  <si>
    <t>FK0680</t>
  </si>
  <si>
    <t>P7578</t>
  </si>
  <si>
    <t>FK0681</t>
  </si>
  <si>
    <t>C406</t>
  </si>
  <si>
    <t>P4585</t>
  </si>
  <si>
    <t>FK0682</t>
  </si>
  <si>
    <t>C957</t>
  </si>
  <si>
    <t>P4905</t>
  </si>
  <si>
    <t>FK0683</t>
  </si>
  <si>
    <t>P2014</t>
  </si>
  <si>
    <t>FK0684</t>
  </si>
  <si>
    <t>C435</t>
  </si>
  <si>
    <t>P8069</t>
  </si>
  <si>
    <t>FK0685</t>
  </si>
  <si>
    <t>C976</t>
  </si>
  <si>
    <t>P2584</t>
  </si>
  <si>
    <t>FK0686</t>
  </si>
  <si>
    <t>P2577</t>
  </si>
  <si>
    <t>FK0687</t>
  </si>
  <si>
    <t>P4384</t>
  </si>
  <si>
    <t>FK0688</t>
  </si>
  <si>
    <t>P8147</t>
  </si>
  <si>
    <t>FK0689</t>
  </si>
  <si>
    <t>C999</t>
  </si>
  <si>
    <t>P4730</t>
  </si>
  <si>
    <t>FK0690</t>
  </si>
  <si>
    <t>P9476</t>
  </si>
  <si>
    <t>FK0691</t>
  </si>
  <si>
    <t>C275</t>
  </si>
  <si>
    <t>P3753</t>
  </si>
  <si>
    <t>FK0692</t>
  </si>
  <si>
    <t>P8631</t>
  </si>
  <si>
    <t>FK0693</t>
  </si>
  <si>
    <t>P4656</t>
  </si>
  <si>
    <t>FK0694</t>
  </si>
  <si>
    <t>FK0695</t>
  </si>
  <si>
    <t>P7581</t>
  </si>
  <si>
    <t>FK0696</t>
  </si>
  <si>
    <t>P6080</t>
  </si>
  <si>
    <t>FK0697</t>
  </si>
  <si>
    <t>P6246</t>
  </si>
  <si>
    <t>FK0698</t>
  </si>
  <si>
    <t>P8834</t>
  </si>
  <si>
    <t>FK0699</t>
  </si>
  <si>
    <t>P5323</t>
  </si>
  <si>
    <t>FK0700</t>
  </si>
  <si>
    <t>C199</t>
  </si>
  <si>
    <t>P5863</t>
  </si>
  <si>
    <t>FK0701</t>
  </si>
  <si>
    <t>FK0702</t>
  </si>
  <si>
    <t>P3942</t>
  </si>
  <si>
    <t>FK0703</t>
  </si>
  <si>
    <t>P4465</t>
  </si>
  <si>
    <t>FK0704</t>
  </si>
  <si>
    <t>C398</t>
  </si>
  <si>
    <t>P5477</t>
  </si>
  <si>
    <t>FK0705</t>
  </si>
  <si>
    <t>C457</t>
  </si>
  <si>
    <t>P5987</t>
  </si>
  <si>
    <t>FK0706</t>
  </si>
  <si>
    <t>P5985</t>
  </si>
  <si>
    <t>FK0707</t>
  </si>
  <si>
    <t>P6505</t>
  </si>
  <si>
    <t>FK0708</t>
  </si>
  <si>
    <t>FK0709</t>
  </si>
  <si>
    <t>C771</t>
  </si>
  <si>
    <t>P6266</t>
  </si>
  <si>
    <t>FK0710</t>
  </si>
  <si>
    <t>FK0711</t>
  </si>
  <si>
    <t>P4010</t>
  </si>
  <si>
    <t>FK0712</t>
  </si>
  <si>
    <t>P2811</t>
  </si>
  <si>
    <t>FK0713</t>
  </si>
  <si>
    <t>P4857</t>
  </si>
  <si>
    <t>FK0714</t>
  </si>
  <si>
    <t>FK0715</t>
  </si>
  <si>
    <t>C520</t>
  </si>
  <si>
    <t>P7088</t>
  </si>
  <si>
    <t>FK0716</t>
  </si>
  <si>
    <t>P6577</t>
  </si>
  <si>
    <t>FK0717</t>
  </si>
  <si>
    <t>P1000</t>
  </si>
  <si>
    <t>FK0718</t>
  </si>
  <si>
    <t>C848</t>
  </si>
  <si>
    <t>P1559</t>
  </si>
  <si>
    <t>FK0719</t>
  </si>
  <si>
    <t>C773</t>
  </si>
  <si>
    <t>P1018</t>
  </si>
  <si>
    <t>FK0720</t>
  </si>
  <si>
    <t>C297</t>
  </si>
  <si>
    <t>P3213</t>
  </si>
  <si>
    <t>FK0721</t>
  </si>
  <si>
    <t>P2327</t>
  </si>
  <si>
    <t>FK0722</t>
  </si>
  <si>
    <t>P3699</t>
  </si>
  <si>
    <t>FK0723</t>
  </si>
  <si>
    <t>P2820</t>
  </si>
  <si>
    <t>FK0724</t>
  </si>
  <si>
    <t>P7679</t>
  </si>
  <si>
    <t>FK0725</t>
  </si>
  <si>
    <t>FK0726</t>
  </si>
  <si>
    <t>P3770</t>
  </si>
  <si>
    <t>FK0727</t>
  </si>
  <si>
    <t>C556</t>
  </si>
  <si>
    <t>P8356</t>
  </si>
  <si>
    <t>FK0728</t>
  </si>
  <si>
    <t>P1960</t>
  </si>
  <si>
    <t>FK0729</t>
  </si>
  <si>
    <t>P1945</t>
  </si>
  <si>
    <t>FK0730</t>
  </si>
  <si>
    <t>P3718</t>
  </si>
  <si>
    <t>FK0731</t>
  </si>
  <si>
    <t>C509</t>
  </si>
  <si>
    <t>FK0732</t>
  </si>
  <si>
    <t>C466</t>
  </si>
  <si>
    <t>P7077</t>
  </si>
  <si>
    <t>FK0733</t>
  </si>
  <si>
    <t>P8126</t>
  </si>
  <si>
    <t>FK0734</t>
  </si>
  <si>
    <t>C430</t>
  </si>
  <si>
    <t>P4962</t>
  </si>
  <si>
    <t>FK0735</t>
  </si>
  <si>
    <t>P4015</t>
  </si>
  <si>
    <t>FK0736</t>
  </si>
  <si>
    <t>C444</t>
  </si>
  <si>
    <t>P5605</t>
  </si>
  <si>
    <t>FK0737</t>
  </si>
  <si>
    <t>C627</t>
  </si>
  <si>
    <t>P5446</t>
  </si>
  <si>
    <t>FK0738</t>
  </si>
  <si>
    <t>C940</t>
  </si>
  <si>
    <t>P4734</t>
  </si>
  <si>
    <t>FK0739</t>
  </si>
  <si>
    <t>P4155</t>
  </si>
  <si>
    <t>FK0740</t>
  </si>
  <si>
    <t>C511</t>
  </si>
  <si>
    <t>P6042</t>
  </si>
  <si>
    <t>FK0741</t>
  </si>
  <si>
    <t>C778</t>
  </si>
  <si>
    <t>P1941</t>
  </si>
  <si>
    <t>FK0742</t>
  </si>
  <si>
    <t>P8616</t>
  </si>
  <si>
    <t>FK0743</t>
  </si>
  <si>
    <t>C268</t>
  </si>
  <si>
    <t>P2741</t>
  </si>
  <si>
    <t>FK0744</t>
  </si>
  <si>
    <t>P6865</t>
  </si>
  <si>
    <t>FK0745</t>
  </si>
  <si>
    <t>P2206</t>
  </si>
  <si>
    <t>FK0746</t>
  </si>
  <si>
    <t>C836</t>
  </si>
  <si>
    <t>P7697</t>
  </si>
  <si>
    <t>FK0747</t>
  </si>
  <si>
    <t>C413</t>
  </si>
  <si>
    <t>P1568</t>
  </si>
  <si>
    <t>FK0748</t>
  </si>
  <si>
    <t>P9628</t>
  </si>
  <si>
    <t>FK0749</t>
  </si>
  <si>
    <t>C921</t>
  </si>
  <si>
    <t>P3249</t>
  </si>
  <si>
    <t>FK0750</t>
  </si>
  <si>
    <t>C405</t>
  </si>
  <si>
    <t>P7780</t>
  </si>
  <si>
    <t>FK0751</t>
  </si>
  <si>
    <t>P6367</t>
  </si>
  <si>
    <t>FK0752</t>
  </si>
  <si>
    <t>P7596</t>
  </si>
  <si>
    <t>FK0753</t>
  </si>
  <si>
    <t>C419</t>
  </si>
  <si>
    <t>P3422</t>
  </si>
  <si>
    <t>FK0754</t>
  </si>
  <si>
    <t>P7615</t>
  </si>
  <si>
    <t>FK0755</t>
  </si>
  <si>
    <t>C990</t>
  </si>
  <si>
    <t>P8059</t>
  </si>
  <si>
    <t>FK0756</t>
  </si>
  <si>
    <t>C619</t>
  </si>
  <si>
    <t>P7220</t>
  </si>
  <si>
    <t>FK0757</t>
  </si>
  <si>
    <t>C176</t>
  </si>
  <si>
    <t>P9506</t>
  </si>
  <si>
    <t>FK0758</t>
  </si>
  <si>
    <t>C797</t>
  </si>
  <si>
    <t>P3063</t>
  </si>
  <si>
    <t>FK0759</t>
  </si>
  <si>
    <t>C321</t>
  </si>
  <si>
    <t>P6269</t>
  </si>
  <si>
    <t>FK0760</t>
  </si>
  <si>
    <t>P3735</t>
  </si>
  <si>
    <t>FK0761</t>
  </si>
  <si>
    <t>P6354</t>
  </si>
  <si>
    <t>FK0762</t>
  </si>
  <si>
    <t>C446</t>
  </si>
  <si>
    <t>P2323</t>
  </si>
  <si>
    <t>FK0763</t>
  </si>
  <si>
    <t>FK0764</t>
  </si>
  <si>
    <t>C242</t>
  </si>
  <si>
    <t>P3072</t>
  </si>
  <si>
    <t>FK0765</t>
  </si>
  <si>
    <t>P9515</t>
  </si>
  <si>
    <t>FK0766</t>
  </si>
  <si>
    <t>C747</t>
  </si>
  <si>
    <t>P9260</t>
  </si>
  <si>
    <t>FK0767</t>
  </si>
  <si>
    <t>C407</t>
  </si>
  <si>
    <t>P5517</t>
  </si>
  <si>
    <t>FK0768</t>
  </si>
  <si>
    <t>C298</t>
  </si>
  <si>
    <t>P5318</t>
  </si>
  <si>
    <t>FK0769</t>
  </si>
  <si>
    <t>C248</t>
  </si>
  <si>
    <t>P4220</t>
  </si>
  <si>
    <t>FK0770</t>
  </si>
  <si>
    <t>P5838</t>
  </si>
  <si>
    <t>FK0771</t>
  </si>
  <si>
    <t>C365</t>
  </si>
  <si>
    <t>P1580</t>
  </si>
  <si>
    <t>FK0772</t>
  </si>
  <si>
    <t>C449</t>
  </si>
  <si>
    <t>P2376</t>
  </si>
  <si>
    <t>FK0773</t>
  </si>
  <si>
    <t>P3729</t>
  </si>
  <si>
    <t>FK0774</t>
  </si>
  <si>
    <t>C886</t>
  </si>
  <si>
    <t>P3515</t>
  </si>
  <si>
    <t>FK0775</t>
  </si>
  <si>
    <t>P8462</t>
  </si>
  <si>
    <t>FK0776</t>
  </si>
  <si>
    <t>C862</t>
  </si>
  <si>
    <t>P3482</t>
  </si>
  <si>
    <t>FK0777</t>
  </si>
  <si>
    <t>C742</t>
  </si>
  <si>
    <t>P7222</t>
  </si>
  <si>
    <t>FK0778</t>
  </si>
  <si>
    <t>P4400</t>
  </si>
  <si>
    <t>FK0779</t>
  </si>
  <si>
    <t>P6069</t>
  </si>
  <si>
    <t>FK0780</t>
  </si>
  <si>
    <t>P2785</t>
  </si>
  <si>
    <t>FK0781</t>
  </si>
  <si>
    <t>P3869</t>
  </si>
  <si>
    <t>FK0782</t>
  </si>
  <si>
    <t>C237</t>
  </si>
  <si>
    <t>P2157</t>
  </si>
  <si>
    <t>FK0783</t>
  </si>
  <si>
    <t>C342</t>
  </si>
  <si>
    <t>P4314</t>
  </si>
  <si>
    <t>FK0784</t>
  </si>
  <si>
    <t>P7567</t>
  </si>
  <si>
    <t>FK0785</t>
  </si>
  <si>
    <t>P9627</t>
  </si>
  <si>
    <t>FK0786</t>
  </si>
  <si>
    <t>P7432</t>
  </si>
  <si>
    <t>FK0787</t>
  </si>
  <si>
    <t>P8429</t>
  </si>
  <si>
    <t>FK0788</t>
  </si>
  <si>
    <t>P3887</t>
  </si>
  <si>
    <t>FK0789</t>
  </si>
  <si>
    <t>P3412</t>
  </si>
  <si>
    <t>FK0790</t>
  </si>
  <si>
    <t>FK0791</t>
  </si>
  <si>
    <t>C443</t>
  </si>
  <si>
    <t>FK0792</t>
  </si>
  <si>
    <t>C452</t>
  </si>
  <si>
    <t>P5265</t>
  </si>
  <si>
    <t>FK0793</t>
  </si>
  <si>
    <t>C182</t>
  </si>
  <si>
    <t>P5752</t>
  </si>
  <si>
    <t>FK0794</t>
  </si>
  <si>
    <t>P9401</t>
  </si>
  <si>
    <t>FK0795</t>
  </si>
  <si>
    <t>C250</t>
  </si>
  <si>
    <t>P4080</t>
  </si>
  <si>
    <t>FK0796</t>
  </si>
  <si>
    <t>P2265</t>
  </si>
  <si>
    <t>FK0797</t>
  </si>
  <si>
    <t>P6298</t>
  </si>
  <si>
    <t>FK0798</t>
  </si>
  <si>
    <t>C361</t>
  </si>
  <si>
    <t>P3685</t>
  </si>
  <si>
    <t>FK0799</t>
  </si>
  <si>
    <t>P8973</t>
  </si>
  <si>
    <t>FK0800</t>
  </si>
  <si>
    <t>P9165</t>
  </si>
  <si>
    <t>FK0801</t>
  </si>
  <si>
    <t>P5403</t>
  </si>
  <si>
    <t>FK0802</t>
  </si>
  <si>
    <t>C119</t>
  </si>
  <si>
    <t>P4686</t>
  </si>
  <si>
    <t>FK0803</t>
  </si>
  <si>
    <t>C226</t>
  </si>
  <si>
    <t>P2281</t>
  </si>
  <si>
    <t>FK0804</t>
  </si>
  <si>
    <t>C386</t>
  </si>
  <si>
    <t>P7458</t>
  </si>
  <si>
    <t>FK0805</t>
  </si>
  <si>
    <t>P1372</t>
  </si>
  <si>
    <t>FK0806</t>
  </si>
  <si>
    <t>P3973</t>
  </si>
  <si>
    <t>FK0807</t>
  </si>
  <si>
    <t>P7654</t>
  </si>
  <si>
    <t>FK0808</t>
  </si>
  <si>
    <t>P9795</t>
  </si>
  <si>
    <t>FK0809</t>
  </si>
  <si>
    <t>P9192</t>
  </si>
  <si>
    <t>FK0810</t>
  </si>
  <si>
    <t>P1213</t>
  </si>
  <si>
    <t>FK0811</t>
  </si>
  <si>
    <t>C755</t>
  </si>
  <si>
    <t>FK0812</t>
  </si>
  <si>
    <t>P2209</t>
  </si>
  <si>
    <t>FK0813</t>
  </si>
  <si>
    <t>P2474</t>
  </si>
  <si>
    <t>FK0814</t>
  </si>
  <si>
    <t>P8854</t>
  </si>
  <si>
    <t>FK0815</t>
  </si>
  <si>
    <t>P9623</t>
  </si>
  <si>
    <t>FK0816</t>
  </si>
  <si>
    <t>C138</t>
  </si>
  <si>
    <t>P6184</t>
  </si>
  <si>
    <t>FK0817</t>
  </si>
  <si>
    <t>P5081</t>
  </si>
  <si>
    <t>FK0818</t>
  </si>
  <si>
    <t>C841</t>
  </si>
  <si>
    <t>P8779</t>
  </si>
  <si>
    <t>FK0819</t>
  </si>
  <si>
    <t>C107</t>
  </si>
  <si>
    <t>P1106</t>
  </si>
  <si>
    <t>FK0820</t>
  </si>
  <si>
    <t>P7685</t>
  </si>
  <si>
    <t>FK0821</t>
  </si>
  <si>
    <t>P7614</t>
  </si>
  <si>
    <t>FK0822</t>
  </si>
  <si>
    <t>P4653</t>
  </si>
  <si>
    <t>FK0823</t>
  </si>
  <si>
    <t>C493</t>
  </si>
  <si>
    <t>P9797</t>
  </si>
  <si>
    <t>FK0824</t>
  </si>
  <si>
    <t>C247</t>
  </si>
  <si>
    <t>FK0825</t>
  </si>
  <si>
    <t>P9212</t>
  </si>
  <si>
    <t>FK0826</t>
  </si>
  <si>
    <t>P8731</t>
  </si>
  <si>
    <t>FK0827</t>
  </si>
  <si>
    <t>P8724</t>
  </si>
  <si>
    <t>FK0828</t>
  </si>
  <si>
    <t>P7997</t>
  </si>
  <si>
    <t>FK0829</t>
  </si>
  <si>
    <t>C681</t>
  </si>
  <si>
    <t>P6620</t>
  </si>
  <si>
    <t>FK0830</t>
  </si>
  <si>
    <t>P1414</t>
  </si>
  <si>
    <t>FK0831</t>
  </si>
  <si>
    <t>C544</t>
  </si>
  <si>
    <t>P9810</t>
  </si>
  <si>
    <t>FK0832</t>
  </si>
  <si>
    <t>C983</t>
  </si>
  <si>
    <t>P4453</t>
  </si>
  <si>
    <t>FK0833</t>
  </si>
  <si>
    <t>P7353</t>
  </si>
  <si>
    <t>FK0834</t>
  </si>
  <si>
    <t>P7244</t>
  </si>
  <si>
    <t>FK0835</t>
  </si>
  <si>
    <t>FK0836</t>
  </si>
  <si>
    <t>C246</t>
  </si>
  <si>
    <t>P3397</t>
  </si>
  <si>
    <t>FK0837</t>
  </si>
  <si>
    <t>P6159</t>
  </si>
  <si>
    <t>FK0838</t>
  </si>
  <si>
    <t>C863</t>
  </si>
  <si>
    <t>FK0839</t>
  </si>
  <si>
    <t>P2973</t>
  </si>
  <si>
    <t>FK0840</t>
  </si>
  <si>
    <t>C664</t>
  </si>
  <si>
    <t>P9696</t>
  </si>
  <si>
    <t>FK0841</t>
  </si>
  <si>
    <t>C717</t>
  </si>
  <si>
    <t>P8035</t>
  </si>
  <si>
    <t>FK0842</t>
  </si>
  <si>
    <t>C326</t>
  </si>
  <si>
    <t>P6353</t>
  </si>
  <si>
    <t>FK0843</t>
  </si>
  <si>
    <t>C909</t>
  </si>
  <si>
    <t>P4502</t>
  </si>
  <si>
    <t>FK0844</t>
  </si>
  <si>
    <t>C636</t>
  </si>
  <si>
    <t>P5548</t>
  </si>
  <si>
    <t>FK0845</t>
  </si>
  <si>
    <t>P9919</t>
  </si>
  <si>
    <t>FK0846</t>
  </si>
  <si>
    <t>P5042</t>
  </si>
  <si>
    <t>FK0847</t>
  </si>
  <si>
    <t>P2922</t>
  </si>
  <si>
    <t>FK0848</t>
  </si>
  <si>
    <t>C451</t>
  </si>
  <si>
    <t>P5764</t>
  </si>
  <si>
    <t>FK0849</t>
  </si>
  <si>
    <t>P3262</t>
  </si>
  <si>
    <t>FK0850</t>
  </si>
  <si>
    <t>P3154</t>
  </si>
  <si>
    <t>FK0851</t>
  </si>
  <si>
    <t>C629</t>
  </si>
  <si>
    <t>P2290</t>
  </si>
  <si>
    <t>FK0852</t>
  </si>
  <si>
    <t>P3205</t>
  </si>
  <si>
    <t>FK0853</t>
  </si>
  <si>
    <t>P3176</t>
  </si>
  <si>
    <t>FK0854</t>
  </si>
  <si>
    <t>C792</t>
  </si>
  <si>
    <t>FK0855</t>
  </si>
  <si>
    <t>P9938</t>
  </si>
  <si>
    <t>FK0856</t>
  </si>
  <si>
    <t>P5759</t>
  </si>
  <si>
    <t>FK0857</t>
  </si>
  <si>
    <t>P7839</t>
  </si>
  <si>
    <t>FK0858</t>
  </si>
  <si>
    <t>P8484</t>
  </si>
  <si>
    <t>FK0859</t>
  </si>
  <si>
    <t>P5688</t>
  </si>
  <si>
    <t>FK0860</t>
  </si>
  <si>
    <t>C496</t>
  </si>
  <si>
    <t>P6609</t>
  </si>
  <si>
    <t>FK0861</t>
  </si>
  <si>
    <t>C285</t>
  </si>
  <si>
    <t>P8308</t>
  </si>
  <si>
    <t>FK0862</t>
  </si>
  <si>
    <t>P4047</t>
  </si>
  <si>
    <t>FK0863</t>
  </si>
  <si>
    <t>C911</t>
  </si>
  <si>
    <t>P7917</t>
  </si>
  <si>
    <t>FK0864</t>
  </si>
  <si>
    <t>P7585</t>
  </si>
  <si>
    <t>FK0865</t>
  </si>
  <si>
    <t>P6592</t>
  </si>
  <si>
    <t>FK0866</t>
  </si>
  <si>
    <t>P5671</t>
  </si>
  <si>
    <t>FK0867</t>
  </si>
  <si>
    <t>P7250</t>
  </si>
  <si>
    <t>FK0868</t>
  </si>
  <si>
    <t>P3142</t>
  </si>
  <si>
    <t>FK0869</t>
  </si>
  <si>
    <t>P5503</t>
  </si>
  <si>
    <t>FK0870</t>
  </si>
  <si>
    <t>P8038</t>
  </si>
  <si>
    <t>FK0871</t>
  </si>
  <si>
    <t>P3251</t>
  </si>
  <si>
    <t>FK0872</t>
  </si>
  <si>
    <t>FK0873</t>
  </si>
  <si>
    <t>FK0874</t>
  </si>
  <si>
    <t>P1537</t>
  </si>
  <si>
    <t>FK0875</t>
  </si>
  <si>
    <t>P3019</t>
  </si>
  <si>
    <t>FK0876</t>
  </si>
  <si>
    <t>P9400</t>
  </si>
  <si>
    <t>FK0877</t>
  </si>
  <si>
    <t>C714</t>
  </si>
  <si>
    <t>P9481</t>
  </si>
  <si>
    <t>FK0878</t>
  </si>
  <si>
    <t>C582</t>
  </si>
  <si>
    <t>P7828</t>
  </si>
  <si>
    <t>FK0879</t>
  </si>
  <si>
    <t>P3548</t>
  </si>
  <si>
    <t>FK0880</t>
  </si>
  <si>
    <t>C596</t>
  </si>
  <si>
    <t>P8586</t>
  </si>
  <si>
    <t>FK0881</t>
  </si>
  <si>
    <t>C639</t>
  </si>
  <si>
    <t>P4818</t>
  </si>
  <si>
    <t>FK0882</t>
  </si>
  <si>
    <t>P2068</t>
  </si>
  <si>
    <t>FK0883</t>
  </si>
  <si>
    <t>P1943</t>
  </si>
  <si>
    <t>FK0884</t>
  </si>
  <si>
    <t>P4829</t>
  </si>
  <si>
    <t>FK0885</t>
  </si>
  <si>
    <t>P8150</t>
  </si>
  <si>
    <t>FK0886</t>
  </si>
  <si>
    <t>P2097</t>
  </si>
  <si>
    <t>FK0887</t>
  </si>
  <si>
    <t>C468</t>
  </si>
  <si>
    <t>P5098</t>
  </si>
  <si>
    <t>FK0888</t>
  </si>
  <si>
    <t>P3952</t>
  </si>
  <si>
    <t>FK0889</t>
  </si>
  <si>
    <t>C560</t>
  </si>
  <si>
    <t>P1365</t>
  </si>
  <si>
    <t>FK0890</t>
  </si>
  <si>
    <t>P6696</t>
  </si>
  <si>
    <t>FK0891</t>
  </si>
  <si>
    <t>P9051</t>
  </si>
  <si>
    <t>FK0892</t>
  </si>
  <si>
    <t>C800</t>
  </si>
  <si>
    <t>FK0893</t>
  </si>
  <si>
    <t>P3331</t>
  </si>
  <si>
    <t>FK0894</t>
  </si>
  <si>
    <t>C622</t>
  </si>
  <si>
    <t>FK0895</t>
  </si>
  <si>
    <t>P9115</t>
  </si>
  <si>
    <t>FK0896</t>
  </si>
  <si>
    <t>P8184</t>
  </si>
  <si>
    <t>FK0897</t>
  </si>
  <si>
    <t>FK0898</t>
  </si>
  <si>
    <t>P2743</t>
  </si>
  <si>
    <t>FK0899</t>
  </si>
  <si>
    <t>C376</t>
  </si>
  <si>
    <t>P1959</t>
  </si>
  <si>
    <t>FK0900</t>
  </si>
  <si>
    <t>P2303</t>
  </si>
  <si>
    <t>FK0901</t>
  </si>
  <si>
    <t>C397</t>
  </si>
  <si>
    <t>FK0902</t>
  </si>
  <si>
    <t>C872</t>
  </si>
  <si>
    <t>P9834</t>
  </si>
  <si>
    <t>FK0903</t>
  </si>
  <si>
    <t>C617</t>
  </si>
  <si>
    <t>P5666</t>
  </si>
  <si>
    <t>FK0904</t>
  </si>
  <si>
    <t>P1727</t>
  </si>
  <si>
    <t>FK0905</t>
  </si>
  <si>
    <t>C357</t>
  </si>
  <si>
    <t>P5723</t>
  </si>
  <si>
    <t>FK0906</t>
  </si>
  <si>
    <t>P1074</t>
  </si>
  <si>
    <t>FK0907</t>
  </si>
  <si>
    <t>P8107</t>
  </si>
  <si>
    <t>FK0908</t>
  </si>
  <si>
    <t>P5065</t>
  </si>
  <si>
    <t>FK0909</t>
  </si>
  <si>
    <t>P2065</t>
  </si>
  <si>
    <t>FK0910</t>
  </si>
  <si>
    <t>C178</t>
  </si>
  <si>
    <t>P2695</t>
  </si>
  <si>
    <t>FK0911</t>
  </si>
  <si>
    <t>C453</t>
  </si>
  <si>
    <t>P6744</t>
  </si>
  <si>
    <t>FK0912</t>
  </si>
  <si>
    <t>C782</t>
  </si>
  <si>
    <t>P5725</t>
  </si>
  <si>
    <t>FK0913</t>
  </si>
  <si>
    <t>P2377</t>
  </si>
  <si>
    <t>FK0914</t>
  </si>
  <si>
    <t>P4562</t>
  </si>
  <si>
    <t>FK0915</t>
  </si>
  <si>
    <t>P3470</t>
  </si>
  <si>
    <t>FK0916</t>
  </si>
  <si>
    <t>C770</t>
  </si>
  <si>
    <t>P4921</t>
  </si>
  <si>
    <t>FK0917</t>
  </si>
  <si>
    <t>P9237</t>
  </si>
  <si>
    <t>FK0918</t>
  </si>
  <si>
    <t>P7198</t>
  </si>
  <si>
    <t>FK0919</t>
  </si>
  <si>
    <t>P2353</t>
  </si>
  <si>
    <t>FK0920</t>
  </si>
  <si>
    <t>P4784</t>
  </si>
  <si>
    <t>FK0921</t>
  </si>
  <si>
    <t>C731</t>
  </si>
  <si>
    <t>P2478</t>
  </si>
  <si>
    <t>FK0922</t>
  </si>
  <si>
    <t>P8726</t>
  </si>
  <si>
    <t>FK0923</t>
  </si>
  <si>
    <t>P3252</t>
  </si>
  <si>
    <t>FK0924</t>
  </si>
  <si>
    <t>C233</t>
  </si>
  <si>
    <t>P2282</t>
  </si>
  <si>
    <t>FK0925</t>
  </si>
  <si>
    <t>C930</t>
  </si>
  <si>
    <t>P7663</t>
  </si>
  <si>
    <t>FK0926</t>
  </si>
  <si>
    <t>C666</t>
  </si>
  <si>
    <t>P1285</t>
  </si>
  <si>
    <t>FK0927</t>
  </si>
  <si>
    <t>P9155</t>
  </si>
  <si>
    <t>FK0928</t>
  </si>
  <si>
    <t>P8010</t>
  </si>
  <si>
    <t>FK0929</t>
  </si>
  <si>
    <t>P3692</t>
  </si>
  <si>
    <t>FK0930</t>
  </si>
  <si>
    <t>P4760</t>
  </si>
  <si>
    <t>FK0931</t>
  </si>
  <si>
    <t>P7803</t>
  </si>
  <si>
    <t>FK0932</t>
  </si>
  <si>
    <t>FK0933</t>
  </si>
  <si>
    <t>P6469</t>
  </si>
  <si>
    <t>FK0934</t>
  </si>
  <si>
    <t>C813</t>
  </si>
  <si>
    <t>P4798</t>
  </si>
  <si>
    <t>FK0935</t>
  </si>
  <si>
    <t>C653</t>
  </si>
  <si>
    <t>P5684</t>
  </si>
  <si>
    <t>FK0936</t>
  </si>
  <si>
    <t>P2387</t>
  </si>
  <si>
    <t>FK0937</t>
  </si>
  <si>
    <t>P2429</t>
  </si>
  <si>
    <t>FK0938</t>
  </si>
  <si>
    <t>P1296</t>
  </si>
  <si>
    <t>FK0939</t>
  </si>
  <si>
    <t>P1983</t>
  </si>
  <si>
    <t>FK0940</t>
  </si>
  <si>
    <t>C606</t>
  </si>
  <si>
    <t>P8108</t>
  </si>
  <si>
    <t>FK0941</t>
  </si>
  <si>
    <t>P3010</t>
  </si>
  <si>
    <t>FK0942</t>
  </si>
  <si>
    <t>C807</t>
  </si>
  <si>
    <t>P1079</t>
  </si>
  <si>
    <t>FK0943</t>
  </si>
  <si>
    <t>FK0944</t>
  </si>
  <si>
    <t>P6547</t>
  </si>
  <si>
    <t>FK0945</t>
  </si>
  <si>
    <t>P2991</t>
  </si>
  <si>
    <t>FK0946</t>
  </si>
  <si>
    <t>P7191</t>
  </si>
  <si>
    <t>FK0947</t>
  </si>
  <si>
    <t>C467</t>
  </si>
  <si>
    <t>P2763</t>
  </si>
  <si>
    <t>FK0948</t>
  </si>
  <si>
    <t>C709</t>
  </si>
  <si>
    <t>P5816</t>
  </si>
  <si>
    <t>FK0949</t>
  </si>
  <si>
    <t>P3168</t>
  </si>
  <si>
    <t>FK0950</t>
  </si>
  <si>
    <t>P6344</t>
  </si>
  <si>
    <t>FK0951</t>
  </si>
  <si>
    <t>P8332</t>
  </si>
  <si>
    <t>FK0952</t>
  </si>
  <si>
    <t>C699</t>
  </si>
  <si>
    <t>P6441</t>
  </si>
  <si>
    <t>FK0953</t>
  </si>
  <si>
    <t>C870</t>
  </si>
  <si>
    <t>P2271</t>
  </si>
  <si>
    <t>FK0954</t>
  </si>
  <si>
    <t>P1334</t>
  </si>
  <si>
    <t>FK0955</t>
  </si>
  <si>
    <t>C379</t>
  </si>
  <si>
    <t>P3404</t>
  </si>
  <si>
    <t>FK0956</t>
  </si>
  <si>
    <t>C514</t>
  </si>
  <si>
    <t>P2449</t>
  </si>
  <si>
    <t>FK0957</t>
  </si>
  <si>
    <t>C765</t>
  </si>
  <si>
    <t>FK0958</t>
  </si>
  <si>
    <t>C267</t>
  </si>
  <si>
    <t>P1452</t>
  </si>
  <si>
    <t>FK0959</t>
  </si>
  <si>
    <t>P6810</t>
  </si>
  <si>
    <t>FK0960</t>
  </si>
  <si>
    <t>P6027</t>
  </si>
  <si>
    <t>FK0961</t>
  </si>
  <si>
    <t>P6919</t>
  </si>
  <si>
    <t>FK0962</t>
  </si>
  <si>
    <t>P9041</t>
  </si>
  <si>
    <t>FK0963</t>
  </si>
  <si>
    <t>P9002</t>
  </si>
  <si>
    <t>FK0964</t>
  </si>
  <si>
    <t>C481</t>
  </si>
  <si>
    <t>P9667</t>
  </si>
  <si>
    <t>FK0965</t>
  </si>
  <si>
    <t>P7463</t>
  </si>
  <si>
    <t>FK0966</t>
  </si>
  <si>
    <t>C927</t>
  </si>
  <si>
    <t>P9381</t>
  </si>
  <si>
    <t>FK0967</t>
  </si>
  <si>
    <t>P7823</t>
  </si>
  <si>
    <t>FK0968</t>
  </si>
  <si>
    <t>C310</t>
  </si>
  <si>
    <t>P1323</t>
  </si>
  <si>
    <t>FK0969</t>
  </si>
  <si>
    <t>P6929</t>
  </si>
  <si>
    <t>FK0970</t>
  </si>
  <si>
    <t>C420</t>
  </si>
  <si>
    <t>P8319</t>
  </si>
  <si>
    <t>FK0971</t>
  </si>
  <si>
    <t>C465</t>
  </si>
  <si>
    <t>P9536</t>
  </si>
  <si>
    <t>FK0972</t>
  </si>
  <si>
    <t>C727</t>
  </si>
  <si>
    <t>P7243</t>
  </si>
  <si>
    <t>FK0973</t>
  </si>
  <si>
    <t>C524</t>
  </si>
  <si>
    <t>FK0974</t>
  </si>
  <si>
    <t>P1934</t>
  </si>
  <si>
    <t>FK0975</t>
  </si>
  <si>
    <t>P2372</t>
  </si>
  <si>
    <t>FK0976</t>
  </si>
  <si>
    <t>P8233</t>
  </si>
  <si>
    <t>FK0977</t>
  </si>
  <si>
    <t>P6952</t>
  </si>
  <si>
    <t>FK0978</t>
  </si>
  <si>
    <t>FK0979</t>
  </si>
  <si>
    <t>P4842</t>
  </si>
  <si>
    <t>FK0980</t>
  </si>
  <si>
    <t>C162</t>
  </si>
  <si>
    <t>FK0981</t>
  </si>
  <si>
    <t>C854</t>
  </si>
  <si>
    <t>P4281</t>
  </si>
  <si>
    <t>FK0982</t>
  </si>
  <si>
    <t>P7591</t>
  </si>
  <si>
    <t>FK0983</t>
  </si>
  <si>
    <t>P7802</t>
  </si>
  <si>
    <t>FK0984</t>
  </si>
  <si>
    <t>C393</t>
  </si>
  <si>
    <t>P4709</t>
  </si>
  <si>
    <t>FK0985</t>
  </si>
  <si>
    <t>C888</t>
  </si>
  <si>
    <t>P8730</t>
  </si>
  <si>
    <t>FK0986</t>
  </si>
  <si>
    <t>C592</t>
  </si>
  <si>
    <t>FK0987</t>
  </si>
  <si>
    <t>P5268</t>
  </si>
  <si>
    <t>FK0988</t>
  </si>
  <si>
    <t>C512</t>
  </si>
  <si>
    <t>P8413</t>
  </si>
  <si>
    <t>FK0989</t>
  </si>
  <si>
    <t>P4279</t>
  </si>
  <si>
    <t>FK0990</t>
  </si>
  <si>
    <t>P4977</t>
  </si>
  <si>
    <t>FK0991</t>
  </si>
  <si>
    <t>FK0992</t>
  </si>
  <si>
    <t>P7333</t>
  </si>
  <si>
    <t>FK0993</t>
  </si>
  <si>
    <t>P2667</t>
  </si>
  <si>
    <t>FK0994</t>
  </si>
  <si>
    <t>P6304</t>
  </si>
  <si>
    <t>FK0995</t>
  </si>
  <si>
    <t>C437</t>
  </si>
  <si>
    <t>P6262</t>
  </si>
  <si>
    <t>FK0996</t>
  </si>
  <si>
    <t>FK0997</t>
  </si>
  <si>
    <t>P4090</t>
  </si>
  <si>
    <t>FK0998</t>
  </si>
  <si>
    <t>C894</t>
  </si>
  <si>
    <t>P9732</t>
  </si>
  <si>
    <t>FK0999</t>
  </si>
  <si>
    <t>P4191</t>
  </si>
  <si>
    <t>FK1000</t>
  </si>
  <si>
    <t>C539</t>
  </si>
  <si>
    <t>P9287</t>
  </si>
  <si>
    <t>FK1001</t>
  </si>
  <si>
    <t>P2219</t>
  </si>
  <si>
    <t>FK1002</t>
  </si>
  <si>
    <t>P9049</t>
  </si>
  <si>
    <t>FK1003</t>
  </si>
  <si>
    <t>P4565</t>
  </si>
  <si>
    <t>FK1004</t>
  </si>
  <si>
    <t>P6698</t>
  </si>
  <si>
    <t>FK1005</t>
  </si>
  <si>
    <t>C984</t>
  </si>
  <si>
    <t>FK1006</t>
  </si>
  <si>
    <t>P2937</t>
  </si>
  <si>
    <t>FK1007</t>
  </si>
  <si>
    <t>P5745</t>
  </si>
  <si>
    <t>FK1008</t>
  </si>
  <si>
    <t>C197</t>
  </si>
  <si>
    <t>P1924</t>
  </si>
  <si>
    <t>FK1009</t>
  </si>
  <si>
    <t>C328</t>
  </si>
  <si>
    <t>P6862</t>
  </si>
  <si>
    <t>FK1010</t>
  </si>
  <si>
    <t>P1266</t>
  </si>
  <si>
    <t>FK1011</t>
  </si>
  <si>
    <t>FK1012</t>
  </si>
  <si>
    <t>C408</t>
  </si>
  <si>
    <t>P4411</t>
  </si>
  <si>
    <t>FK1013</t>
  </si>
  <si>
    <t>FK1014</t>
  </si>
  <si>
    <t>P1731</t>
  </si>
  <si>
    <t>FK1015</t>
  </si>
  <si>
    <t>C928</t>
  </si>
  <si>
    <t>P9684</t>
  </si>
  <si>
    <t>FK1016</t>
  </si>
  <si>
    <t>P5208</t>
  </si>
  <si>
    <t>FK1017</t>
  </si>
  <si>
    <t>P2600</t>
  </si>
  <si>
    <t>FK1018</t>
  </si>
  <si>
    <t>P1518</t>
  </si>
  <si>
    <t>FK1019</t>
  </si>
  <si>
    <t>P4910</t>
  </si>
  <si>
    <t>FK1020</t>
  </si>
  <si>
    <t>C287</t>
  </si>
  <si>
    <t>P9827</t>
  </si>
  <si>
    <t>FK1021</t>
  </si>
  <si>
    <t>P1652</t>
  </si>
  <si>
    <t>FK1022</t>
  </si>
  <si>
    <t>P9006</t>
  </si>
  <si>
    <t>FK1023</t>
  </si>
  <si>
    <t>P9740</t>
  </si>
  <si>
    <t>FK1024</t>
  </si>
  <si>
    <t>P6137</t>
  </si>
  <si>
    <t>FK1025</t>
  </si>
  <si>
    <t>P4896</t>
  </si>
  <si>
    <t>FK1026</t>
  </si>
  <si>
    <t>P5107</t>
  </si>
  <si>
    <t>FK1027</t>
  </si>
  <si>
    <t>P6782</t>
  </si>
  <si>
    <t>FK1028</t>
  </si>
  <si>
    <t>P4870</t>
  </si>
  <si>
    <t>FK1029</t>
  </si>
  <si>
    <t>P2015</t>
  </si>
  <si>
    <t>FK1030</t>
  </si>
  <si>
    <t>P4264</t>
  </si>
  <si>
    <t>FK1031</t>
  </si>
  <si>
    <t>C946</t>
  </si>
  <si>
    <t>P9837</t>
  </si>
  <si>
    <t>FK1032</t>
  </si>
  <si>
    <t>P9352</t>
  </si>
  <si>
    <t>FK1033</t>
  </si>
  <si>
    <t>FK1034</t>
  </si>
  <si>
    <t>C965</t>
  </si>
  <si>
    <t>FK1035</t>
  </si>
  <si>
    <t>P8798</t>
  </si>
  <si>
    <t>FK1036</t>
  </si>
  <si>
    <t>C906</t>
  </si>
  <si>
    <t>P4089</t>
  </si>
  <si>
    <t>FK1037</t>
  </si>
  <si>
    <t>P1573</t>
  </si>
  <si>
    <t>FK1038</t>
  </si>
  <si>
    <t>P2987</t>
  </si>
  <si>
    <t>FK1039</t>
  </si>
  <si>
    <t>P5005</t>
  </si>
  <si>
    <t>FK1040</t>
  </si>
  <si>
    <t>P6308</t>
  </si>
  <si>
    <t>FK1041</t>
  </si>
  <si>
    <t>C904</t>
  </si>
  <si>
    <t>FK1042</t>
  </si>
  <si>
    <t>C164</t>
  </si>
  <si>
    <t>P1598</t>
  </si>
  <si>
    <t>FK1043</t>
  </si>
  <si>
    <t>P2517</t>
  </si>
  <si>
    <t>FK1044</t>
  </si>
  <si>
    <t>P7698</t>
  </si>
  <si>
    <t>FK1045</t>
  </si>
  <si>
    <t>FK1046</t>
  </si>
  <si>
    <t>P3946</t>
  </si>
  <si>
    <t>FK1047</t>
  </si>
  <si>
    <t>P7431</t>
  </si>
  <si>
    <t>FK1048</t>
  </si>
  <si>
    <t>C404</t>
  </si>
  <si>
    <t>P8593</t>
  </si>
  <si>
    <t>FK1049</t>
  </si>
  <si>
    <t>P8166</t>
  </si>
  <si>
    <t>FK1050</t>
  </si>
  <si>
    <t>FK1051</t>
  </si>
  <si>
    <t>P7078</t>
  </si>
  <si>
    <t>FK1052</t>
  </si>
  <si>
    <t>P7958</t>
  </si>
  <si>
    <t>FK1053</t>
  </si>
  <si>
    <t>C806</t>
  </si>
  <si>
    <t>P3988</t>
  </si>
  <si>
    <t>FK1054</t>
  </si>
  <si>
    <t>P3648</t>
  </si>
  <si>
    <t>FK1055</t>
  </si>
  <si>
    <t>P4428</t>
  </si>
  <si>
    <t>FK1056</t>
  </si>
  <si>
    <t>P2422</t>
  </si>
  <si>
    <t>FK1057</t>
  </si>
  <si>
    <t>P9050</t>
  </si>
  <si>
    <t>FK1058</t>
  </si>
  <si>
    <t>FK1059</t>
  </si>
  <si>
    <t>C662</t>
  </si>
  <si>
    <t>P6215</t>
  </si>
  <si>
    <t>FK1060</t>
  </si>
  <si>
    <t>C801</t>
  </si>
  <si>
    <t>P9791</t>
  </si>
  <si>
    <t>FK1061</t>
  </si>
  <si>
    <t>C282</t>
  </si>
  <si>
    <t>P9271</t>
  </si>
  <si>
    <t>FK1062</t>
  </si>
  <si>
    <t>P1481</t>
  </si>
  <si>
    <t>FK1063</t>
  </si>
  <si>
    <t>P7193</t>
  </si>
  <si>
    <t>FK1064</t>
  </si>
  <si>
    <t>FK1065</t>
  </si>
  <si>
    <t>P9890</t>
  </si>
  <si>
    <t>FK1066</t>
  </si>
  <si>
    <t>P3540</t>
  </si>
  <si>
    <t>FK1067</t>
  </si>
  <si>
    <t>C508</t>
  </si>
  <si>
    <t>P6267</t>
  </si>
  <si>
    <t>FK1068</t>
  </si>
  <si>
    <t>P5047</t>
  </si>
  <si>
    <t>FK1069</t>
  </si>
  <si>
    <t>P9108</t>
  </si>
  <si>
    <t>FK1070</t>
  </si>
  <si>
    <t>P5654</t>
  </si>
  <si>
    <t>FK1071</t>
  </si>
  <si>
    <t>P3084</t>
  </si>
  <si>
    <t>FK1072</t>
  </si>
  <si>
    <t>C779</t>
  </si>
  <si>
    <t>P4827</t>
  </si>
  <si>
    <t>FK1073</t>
  </si>
  <si>
    <t>P1831</t>
  </si>
  <si>
    <t>FK1074</t>
  </si>
  <si>
    <t>FK1075</t>
  </si>
  <si>
    <t>P1656</t>
  </si>
  <si>
    <t>FK1076</t>
  </si>
  <si>
    <t>C833</t>
  </si>
  <si>
    <t>P6632</t>
  </si>
  <si>
    <t>FK1077</t>
  </si>
  <si>
    <t>P2869</t>
  </si>
  <si>
    <t>FK1078</t>
  </si>
  <si>
    <t>P8842</t>
  </si>
  <si>
    <t>FK1079</t>
  </si>
  <si>
    <t>P9549</t>
  </si>
  <si>
    <t>FK1080</t>
  </si>
  <si>
    <t>P7544</t>
  </si>
  <si>
    <t>FK1081</t>
  </si>
  <si>
    <t>C387</t>
  </si>
  <si>
    <t>P7603</t>
  </si>
  <si>
    <t>FK1082</t>
  </si>
  <si>
    <t>P6768</t>
  </si>
  <si>
    <t>FK1083</t>
  </si>
  <si>
    <t>C500</t>
  </si>
  <si>
    <t>P5920</t>
  </si>
  <si>
    <t>FK1084</t>
  </si>
  <si>
    <t>C707</t>
  </si>
  <si>
    <t>P7492</t>
  </si>
  <si>
    <t>FK1085</t>
  </si>
  <si>
    <t>P1048</t>
  </si>
  <si>
    <t>FK1086</t>
  </si>
  <si>
    <t>P2977</t>
  </si>
  <si>
    <t>FK1087</t>
  </si>
  <si>
    <t>P2038</t>
  </si>
  <si>
    <t>FK1088</t>
  </si>
  <si>
    <t>C291</t>
  </si>
  <si>
    <t>P6799</t>
  </si>
  <si>
    <t>FK1089</t>
  </si>
  <si>
    <t>C867</t>
  </si>
  <si>
    <t>P3407</t>
  </si>
  <si>
    <t>FK1090</t>
  </si>
  <si>
    <t>P4240</t>
  </si>
  <si>
    <t>FK1091</t>
  </si>
  <si>
    <t>FK1092</t>
  </si>
  <si>
    <t>P7356</t>
  </si>
  <si>
    <t>FK1093</t>
  </si>
  <si>
    <t>C682</t>
  </si>
  <si>
    <t>P6033</t>
  </si>
  <si>
    <t>FK1094</t>
  </si>
  <si>
    <t>P6360</t>
  </si>
  <si>
    <t>FK1095</t>
  </si>
  <si>
    <t>C791</t>
  </si>
  <si>
    <t>P6849</t>
  </si>
  <si>
    <t>FK1096</t>
  </si>
  <si>
    <t>C948</t>
  </si>
  <si>
    <t>P2840</t>
  </si>
  <si>
    <t>FK1097</t>
  </si>
  <si>
    <t>P2659</t>
  </si>
  <si>
    <t>FK1098</t>
  </si>
  <si>
    <t>FK1099</t>
  </si>
  <si>
    <t>C439</t>
  </si>
  <si>
    <t>P5980</t>
  </si>
  <si>
    <t>FK1100</t>
  </si>
  <si>
    <t>P6345</t>
  </si>
  <si>
    <t>FK1101</t>
  </si>
  <si>
    <t>P6482</t>
  </si>
  <si>
    <t>FK1102</t>
  </si>
  <si>
    <t>P1756</t>
  </si>
  <si>
    <t>FK1103</t>
  </si>
  <si>
    <t>P7314</t>
  </si>
  <si>
    <t>FK1104</t>
  </si>
  <si>
    <t>C154</t>
  </si>
  <si>
    <t>P4616</t>
  </si>
  <si>
    <t>FK1105</t>
  </si>
  <si>
    <t>P4628</t>
  </si>
  <si>
    <t>FK1106</t>
  </si>
  <si>
    <t>C462</t>
  </si>
  <si>
    <t>P3724</t>
  </si>
  <si>
    <t>FK1107</t>
  </si>
  <si>
    <t>P9654</t>
  </si>
  <si>
    <t>FK1108</t>
  </si>
  <si>
    <t>C490</t>
  </si>
  <si>
    <t>P9386</t>
  </si>
  <si>
    <t>FK1109</t>
  </si>
  <si>
    <t>P7791</t>
  </si>
  <si>
    <t>FK1110</t>
  </si>
  <si>
    <t>P7341</t>
  </si>
  <si>
    <t>FK1111</t>
  </si>
  <si>
    <t>C249</t>
  </si>
  <si>
    <t>P5800</t>
  </si>
  <si>
    <t>FK1112</t>
  </si>
  <si>
    <t>C600</t>
  </si>
  <si>
    <t>P4637</t>
  </si>
  <si>
    <t>FK1113</t>
  </si>
  <si>
    <t>C366</t>
  </si>
  <si>
    <t>P2502</t>
  </si>
  <si>
    <t>FK1114</t>
  </si>
  <si>
    <t>P8808</t>
  </si>
  <si>
    <t>FK1115</t>
  </si>
  <si>
    <t>C959</t>
  </si>
  <si>
    <t>FK1116</t>
  </si>
  <si>
    <t>P1607</t>
  </si>
  <si>
    <t>FK1117</t>
  </si>
  <si>
    <t>FK1118</t>
  </si>
  <si>
    <t>C692</t>
  </si>
  <si>
    <t>P7913</t>
  </si>
  <si>
    <t>FK1119</t>
  </si>
  <si>
    <t>P4633</t>
  </si>
  <si>
    <t>FK1120</t>
  </si>
  <si>
    <t>C571</t>
  </si>
  <si>
    <t>P4858</t>
  </si>
  <si>
    <t>FK1121</t>
  </si>
  <si>
    <t>C935</t>
  </si>
  <si>
    <t>FK1122</t>
  </si>
  <si>
    <t>P6729</t>
  </si>
  <si>
    <t>FK1123</t>
  </si>
  <si>
    <t>P6583</t>
  </si>
  <si>
    <t>FK1124</t>
  </si>
  <si>
    <t>C881</t>
  </si>
  <si>
    <t>P4775</t>
  </si>
  <si>
    <t>FK1125</t>
  </si>
  <si>
    <t>C432</t>
  </si>
  <si>
    <t>P3050</t>
  </si>
  <si>
    <t>FK1126</t>
  </si>
  <si>
    <t>FK1127</t>
  </si>
  <si>
    <t>C330</t>
  </si>
  <si>
    <t>P1166</t>
  </si>
  <si>
    <t>FK1128</t>
  </si>
  <si>
    <t>P5353</t>
  </si>
  <si>
    <t>FK1129</t>
  </si>
  <si>
    <t>P9079</t>
  </si>
  <si>
    <t>FK1130</t>
  </si>
  <si>
    <t>P7206</t>
  </si>
  <si>
    <t>FK1131</t>
  </si>
  <si>
    <t>P6816</t>
  </si>
  <si>
    <t>FK1132</t>
  </si>
  <si>
    <t>C591</t>
  </si>
  <si>
    <t>P8604</t>
  </si>
  <si>
    <t>FK1133</t>
  </si>
  <si>
    <t>C151</t>
  </si>
  <si>
    <t>P8004</t>
  </si>
  <si>
    <t>FK1134</t>
  </si>
  <si>
    <t>C200</t>
  </si>
  <si>
    <t>P6059</t>
  </si>
  <si>
    <t>FK1135</t>
  </si>
  <si>
    <t>C183</t>
  </si>
  <si>
    <t>P2143</t>
  </si>
  <si>
    <t>FK1136</t>
  </si>
  <si>
    <t>P9156</t>
  </si>
  <si>
    <t>FK1137</t>
  </si>
  <si>
    <t>P4106</t>
  </si>
  <si>
    <t>FK1138</t>
  </si>
  <si>
    <t>P4324</t>
  </si>
  <si>
    <t>FK1139</t>
  </si>
  <si>
    <t>P7851</t>
  </si>
  <si>
    <t>FK1140</t>
  </si>
  <si>
    <t>C513</t>
  </si>
  <si>
    <t>P3069</t>
  </si>
  <si>
    <t>FK1141</t>
  </si>
  <si>
    <t>P7948</t>
  </si>
  <si>
    <t>FK1142</t>
  </si>
  <si>
    <t>P1890</t>
  </si>
  <si>
    <t>FK1143</t>
  </si>
  <si>
    <t>P7936</t>
  </si>
  <si>
    <t>FK1144</t>
  </si>
  <si>
    <t>P3171</t>
  </si>
  <si>
    <t>FK1145</t>
  </si>
  <si>
    <t>C722</t>
  </si>
  <si>
    <t>P3752</t>
  </si>
  <si>
    <t>FK1146</t>
  </si>
  <si>
    <t>C760</t>
  </si>
  <si>
    <t>FK1147</t>
  </si>
  <si>
    <t>P6390</t>
  </si>
  <si>
    <t>FK1148</t>
  </si>
  <si>
    <t>P2286</t>
  </si>
  <si>
    <t>FK1149</t>
  </si>
  <si>
    <t>C347</t>
  </si>
  <si>
    <t>P2161</t>
  </si>
  <si>
    <t>FK1150</t>
  </si>
  <si>
    <t>C373</t>
  </si>
  <si>
    <t>P8969</t>
  </si>
  <si>
    <t>FK1151</t>
  </si>
  <si>
    <t>P5051</t>
  </si>
  <si>
    <t>FK1152</t>
  </si>
  <si>
    <t>P5223</t>
  </si>
  <si>
    <t>FK1153</t>
  </si>
  <si>
    <t>P5836</t>
  </si>
  <si>
    <t>FK1154</t>
  </si>
  <si>
    <t>P3064</t>
  </si>
  <si>
    <t>FK1155</t>
  </si>
  <si>
    <t>P3338</t>
  </si>
  <si>
    <t>FK1156</t>
  </si>
  <si>
    <t>P9377</t>
  </si>
  <si>
    <t>FK1157</t>
  </si>
  <si>
    <t>P7890</t>
  </si>
  <si>
    <t>FK1158</t>
  </si>
  <si>
    <t>P9100</t>
  </si>
  <si>
    <t>FK1159</t>
  </si>
  <si>
    <t>P5558</t>
  </si>
  <si>
    <t>FK1160</t>
  </si>
  <si>
    <t>P9501</t>
  </si>
  <si>
    <t>FK1161</t>
  </si>
  <si>
    <t>C243</t>
  </si>
  <si>
    <t>P3786</t>
  </si>
  <si>
    <t>FK1162</t>
  </si>
  <si>
    <t>C225</t>
  </si>
  <si>
    <t>P7140</t>
  </si>
  <si>
    <t>FK1163</t>
  </si>
  <si>
    <t>P6801</t>
  </si>
  <si>
    <t>FK1164</t>
  </si>
  <si>
    <t>P1413</t>
  </si>
  <si>
    <t>FK1165</t>
  </si>
  <si>
    <t>P1423</t>
  </si>
  <si>
    <t>FK1166</t>
  </si>
  <si>
    <t>P6571</t>
  </si>
  <si>
    <t>FK1167</t>
  </si>
  <si>
    <t>P6957</t>
  </si>
  <si>
    <t>FK1168</t>
  </si>
  <si>
    <t>P1397</t>
  </si>
  <si>
    <t>FK1169</t>
  </si>
  <si>
    <t>P4331</t>
  </si>
  <si>
    <t>FK1170</t>
  </si>
  <si>
    <t>P4407</t>
  </si>
  <si>
    <t>FK1171</t>
  </si>
  <si>
    <t>C384</t>
  </si>
  <si>
    <t>P4301</t>
  </si>
  <si>
    <t>FK1172</t>
  </si>
  <si>
    <t>P6447</t>
  </si>
  <si>
    <t>FK1173</t>
  </si>
  <si>
    <t>FK1174</t>
  </si>
  <si>
    <t>C157</t>
  </si>
  <si>
    <t>P9066</t>
  </si>
  <si>
    <t>FK1175</t>
  </si>
  <si>
    <t>P8313</t>
  </si>
  <si>
    <t>FK1176</t>
  </si>
  <si>
    <t>P2735</t>
  </si>
  <si>
    <t>FK1177</t>
  </si>
  <si>
    <t>P8132</t>
  </si>
  <si>
    <t>FK1178</t>
  </si>
  <si>
    <t>P9259</t>
  </si>
  <si>
    <t>FK1179</t>
  </si>
  <si>
    <t>C210</t>
  </si>
  <si>
    <t>P4748</t>
  </si>
  <si>
    <t>FK1180</t>
  </si>
  <si>
    <t>C631</t>
  </si>
  <si>
    <t>P5736</t>
  </si>
  <si>
    <t>FK1181</t>
  </si>
  <si>
    <t>P7335</t>
  </si>
  <si>
    <t>FK1182</t>
  </si>
  <si>
    <t>C339</t>
  </si>
  <si>
    <t>P7520</t>
  </si>
  <si>
    <t>FK1183</t>
  </si>
  <si>
    <t>P3496</t>
  </si>
  <si>
    <t>FK1184</t>
  </si>
  <si>
    <t>P3629</t>
  </si>
  <si>
    <t>FK1185</t>
  </si>
  <si>
    <t>P2222</t>
  </si>
  <si>
    <t>FK1186</t>
  </si>
  <si>
    <t>FK1187</t>
  </si>
  <si>
    <t>P2085</t>
  </si>
  <si>
    <t>FK1188</t>
  </si>
  <si>
    <t>C334</t>
  </si>
  <si>
    <t>P3278</t>
  </si>
  <si>
    <t>FK1189</t>
  </si>
  <si>
    <t>P3374</t>
  </si>
  <si>
    <t>FK1190</t>
  </si>
  <si>
    <t>P9052</t>
  </si>
  <si>
    <t>FK1191</t>
  </si>
  <si>
    <t>P8880</t>
  </si>
  <si>
    <t>FK1192</t>
  </si>
  <si>
    <t>C545</t>
  </si>
  <si>
    <t>P8186</t>
  </si>
  <si>
    <t>FK1193</t>
  </si>
  <si>
    <t>P3265</t>
  </si>
  <si>
    <t>FK1194</t>
  </si>
  <si>
    <t>P5817</t>
  </si>
  <si>
    <t>FK1195</t>
  </si>
  <si>
    <t>P9025</t>
  </si>
  <si>
    <t>FK1196</t>
  </si>
  <si>
    <t>C179</t>
  </si>
  <si>
    <t>P4517</t>
  </si>
  <si>
    <t>FK1197</t>
  </si>
  <si>
    <t>C350</t>
  </si>
  <si>
    <t>P5714</t>
  </si>
  <si>
    <t>FK1198</t>
  </si>
  <si>
    <t>C186</t>
  </si>
  <si>
    <t>P5273</t>
  </si>
  <si>
    <t>FK1199</t>
  </si>
  <si>
    <t>P5539</t>
  </si>
  <si>
    <t>FK1200</t>
  </si>
  <si>
    <t>P9571</t>
  </si>
  <si>
    <t>FK1201</t>
  </si>
  <si>
    <t>P4838</t>
  </si>
  <si>
    <t>FK1202</t>
  </si>
  <si>
    <t>P5093</t>
  </si>
  <si>
    <t>FK1203</t>
  </si>
  <si>
    <t>C819</t>
  </si>
  <si>
    <t>P4203</t>
  </si>
  <si>
    <t>FK1204</t>
  </si>
  <si>
    <t>FK1205</t>
  </si>
  <si>
    <t>P7689</t>
  </si>
  <si>
    <t>FK1206</t>
  </si>
  <si>
    <t>P8988</t>
  </si>
  <si>
    <t>FK1207</t>
  </si>
  <si>
    <t>P6275</t>
  </si>
  <si>
    <t>FK1208</t>
  </si>
  <si>
    <t>P6974</t>
  </si>
  <si>
    <t>FK1209</t>
  </si>
  <si>
    <t>P1666</t>
  </si>
  <si>
    <t>FK1210</t>
  </si>
  <si>
    <t>P6558</t>
  </si>
  <si>
    <t>FK1211</t>
  </si>
  <si>
    <t>P2621</t>
  </si>
  <si>
    <t>FK1212</t>
  </si>
  <si>
    <t>P8254</t>
  </si>
  <si>
    <t>FK1213</t>
  </si>
  <si>
    <t>C943</t>
  </si>
  <si>
    <t>P2240</t>
  </si>
  <si>
    <t>FK1214</t>
  </si>
  <si>
    <t>C656</t>
  </si>
  <si>
    <t>P6985</t>
  </si>
  <si>
    <t>FK1215</t>
  </si>
  <si>
    <t>P5338</t>
  </si>
  <si>
    <t>FK1216</t>
  </si>
  <si>
    <t>P3445</t>
  </si>
  <si>
    <t>FK1217</t>
  </si>
  <si>
    <t>P1846</t>
  </si>
  <si>
    <t>FK1218</t>
  </si>
  <si>
    <t>P2332</t>
  </si>
  <si>
    <t>FK1219</t>
  </si>
  <si>
    <t>P8437</t>
  </si>
  <si>
    <t>FK1220</t>
  </si>
  <si>
    <t>C913</t>
  </si>
  <si>
    <t>P9666</t>
  </si>
  <si>
    <t>FK1221</t>
  </si>
  <si>
    <t>P6502</t>
  </si>
  <si>
    <t>FK1222</t>
  </si>
  <si>
    <t>P9146</t>
  </si>
  <si>
    <t>FK1223</t>
  </si>
  <si>
    <t>P6560</t>
  </si>
  <si>
    <t>FK1224</t>
  </si>
  <si>
    <t>C645</t>
  </si>
  <si>
    <t>P4276</t>
  </si>
  <si>
    <t>FK1225</t>
  </si>
  <si>
    <t>P7686</t>
  </si>
  <si>
    <t>FK1226</t>
  </si>
  <si>
    <t>P4914</t>
  </si>
  <si>
    <t>FK1227</t>
  </si>
  <si>
    <t>P5544</t>
  </si>
  <si>
    <t>FK1228</t>
  </si>
  <si>
    <t>P4215</t>
  </si>
  <si>
    <t>FK1229</t>
  </si>
  <si>
    <t>C140</t>
  </si>
  <si>
    <t>P7180</t>
  </si>
  <si>
    <t>FK1230</t>
  </si>
  <si>
    <t>P3243</t>
  </si>
  <si>
    <t>FK1231</t>
  </si>
  <si>
    <t>P8882</t>
  </si>
  <si>
    <t>FK1232</t>
  </si>
  <si>
    <t>P5329</t>
  </si>
  <si>
    <t>FK1233</t>
  </si>
  <si>
    <t>FK1234</t>
  </si>
  <si>
    <t>P4602</t>
  </si>
  <si>
    <t>FK1235</t>
  </si>
  <si>
    <t>C227</t>
  </si>
  <si>
    <t>P9554</t>
  </si>
  <si>
    <t>FK1236</t>
  </si>
  <si>
    <t>C896</t>
  </si>
  <si>
    <t>P5388</t>
  </si>
  <si>
    <t>FK1237</t>
  </si>
  <si>
    <t>C969</t>
  </si>
  <si>
    <t>P2732</t>
  </si>
  <si>
    <t>FK1238</t>
  </si>
  <si>
    <t>C411</t>
  </si>
  <si>
    <t>P3843</t>
  </si>
  <si>
    <t>FK1239</t>
  </si>
  <si>
    <t>P3736</t>
  </si>
  <si>
    <t>FK1240</t>
  </si>
  <si>
    <t>P7368</t>
  </si>
  <si>
    <t>FK1241</t>
  </si>
  <si>
    <t>P9164</t>
  </si>
  <si>
    <t>FK1242</t>
  </si>
  <si>
    <t>C985</t>
  </si>
  <si>
    <t>P2477</t>
  </si>
  <si>
    <t>FK1243</t>
  </si>
  <si>
    <t>P1942</t>
  </si>
  <si>
    <t>FK1244</t>
  </si>
  <si>
    <t>P7027</t>
  </si>
  <si>
    <t>FK1245</t>
  </si>
  <si>
    <t>P2211</t>
  </si>
  <si>
    <t>FK1246</t>
  </si>
  <si>
    <t>P7620</t>
  </si>
  <si>
    <t>FK1247</t>
  </si>
  <si>
    <t>P3797</t>
  </si>
  <si>
    <t>FK1248</t>
  </si>
  <si>
    <t>P9665</t>
  </si>
  <si>
    <t>FK1249</t>
  </si>
  <si>
    <t>FK1250</t>
  </si>
  <si>
    <t>P8269</t>
  </si>
  <si>
    <t>FK1251</t>
  </si>
  <si>
    <t>P1201</t>
  </si>
  <si>
    <t>FK1252</t>
  </si>
  <si>
    <t>P1875</t>
  </si>
  <si>
    <t>FK1253</t>
  </si>
  <si>
    <t>P2360</t>
  </si>
  <si>
    <t>FK1254</t>
  </si>
  <si>
    <t>FK1255</t>
  </si>
  <si>
    <t>P2739</t>
  </si>
  <si>
    <t>FK1256</t>
  </si>
  <si>
    <t>P8299</t>
  </si>
  <si>
    <t>FK1257</t>
  </si>
  <si>
    <t>P2611</t>
  </si>
  <si>
    <t>FK1258</t>
  </si>
  <si>
    <t>P8911</t>
  </si>
  <si>
    <t>FK1259</t>
  </si>
  <si>
    <t>P3568</t>
  </si>
  <si>
    <t>FK1260</t>
  </si>
  <si>
    <t>FK1261</t>
  </si>
  <si>
    <t>C589</t>
  </si>
  <si>
    <t>P4526</t>
  </si>
  <si>
    <t>FK1262</t>
  </si>
  <si>
    <t>P1170</t>
  </si>
  <si>
    <t>FK1263</t>
  </si>
  <si>
    <t>FK1264</t>
  </si>
  <si>
    <t>P1839</t>
  </si>
  <si>
    <t>FK1265</t>
  </si>
  <si>
    <t>FK1266</t>
  </si>
  <si>
    <t>P5227</t>
  </si>
  <si>
    <t>FK1267</t>
  </si>
  <si>
    <t>P7085</t>
  </si>
  <si>
    <t>FK1268</t>
  </si>
  <si>
    <t>P8019</t>
  </si>
  <si>
    <t>FK1269</t>
  </si>
  <si>
    <t>P1803</t>
  </si>
  <si>
    <t>FK1270</t>
  </si>
  <si>
    <t>P1122</t>
  </si>
  <si>
    <t>FK1271</t>
  </si>
  <si>
    <t>P1708</t>
  </si>
  <si>
    <t>FK1272</t>
  </si>
  <si>
    <t>P8709</t>
  </si>
  <si>
    <t>FK1273</t>
  </si>
  <si>
    <t>FK1274</t>
  </si>
  <si>
    <t>P8935</t>
  </si>
  <si>
    <t>FK1275</t>
  </si>
  <si>
    <t>P7546</t>
  </si>
  <si>
    <t>FK1276</t>
  </si>
  <si>
    <t>FK1277</t>
  </si>
  <si>
    <t>P5929</t>
  </si>
  <si>
    <t>FK1278</t>
  </si>
  <si>
    <t>P8041</t>
  </si>
  <si>
    <t>FK1279</t>
  </si>
  <si>
    <t>C410</t>
  </si>
  <si>
    <t>P6827</t>
  </si>
  <si>
    <t>FK1280</t>
  </si>
  <si>
    <t>P3088</t>
  </si>
  <si>
    <t>FK1281</t>
  </si>
  <si>
    <t>C696</t>
  </si>
  <si>
    <t>P5431</t>
  </si>
  <si>
    <t>FK1282</t>
  </si>
  <si>
    <t>P9568</t>
  </si>
  <si>
    <t>FK1283</t>
  </si>
  <si>
    <t>P8881</t>
  </si>
  <si>
    <t>FK1284</t>
  </si>
  <si>
    <t>P5015</t>
  </si>
  <si>
    <t>FK1285</t>
  </si>
  <si>
    <t>C198</t>
  </si>
  <si>
    <t>P4843</t>
  </si>
  <si>
    <t>FK1286</t>
  </si>
  <si>
    <t>C723</t>
  </si>
  <si>
    <t>P1065</t>
  </si>
  <si>
    <t>FK1287</t>
  </si>
  <si>
    <t>P7757</t>
  </si>
  <si>
    <t>FK1288</t>
  </si>
  <si>
    <t>P7853</t>
  </si>
  <si>
    <t>FK1289</t>
  </si>
  <si>
    <t>P9943</t>
  </si>
  <si>
    <t>FK1290</t>
  </si>
  <si>
    <t>P1044</t>
  </si>
  <si>
    <t>FK1291</t>
  </si>
  <si>
    <t>C455</t>
  </si>
  <si>
    <t>P8655</t>
  </si>
  <si>
    <t>FK1292</t>
  </si>
  <si>
    <t>FK1293</t>
  </si>
  <si>
    <t>P2119</t>
  </si>
  <si>
    <t>FK1294</t>
  </si>
  <si>
    <t>P3828</t>
  </si>
  <si>
    <t>FK1295</t>
  </si>
  <si>
    <t>P5990</t>
  </si>
  <si>
    <t>FK1296</t>
  </si>
  <si>
    <t>C780</t>
  </si>
  <si>
    <t>P3908</t>
  </si>
  <si>
    <t>FK1297</t>
  </si>
  <si>
    <t>P1815</t>
  </si>
  <si>
    <t>FK1298</t>
  </si>
  <si>
    <t>P1864</t>
  </si>
  <si>
    <t>FK1299</t>
  </si>
  <si>
    <t>P6389</t>
  </si>
  <si>
    <t>FK1300</t>
  </si>
  <si>
    <t>P4254</t>
  </si>
  <si>
    <t>FK1301</t>
  </si>
  <si>
    <t>P4580</t>
  </si>
  <si>
    <t>FK1302</t>
  </si>
  <si>
    <t>FK1303</t>
  </si>
  <si>
    <t>P1932</t>
  </si>
  <si>
    <t>FK1304</t>
  </si>
  <si>
    <t>P7975</t>
  </si>
  <si>
    <t>FK1305</t>
  </si>
  <si>
    <t>P5526</t>
  </si>
  <si>
    <t>FK1306</t>
  </si>
  <si>
    <t>P1396</t>
  </si>
  <si>
    <t>FK1307</t>
  </si>
  <si>
    <t>P5807</t>
  </si>
  <si>
    <t>FK1308</t>
  </si>
  <si>
    <t>P1707</t>
  </si>
  <si>
    <t>FK1309</t>
  </si>
  <si>
    <t>P7062</t>
  </si>
  <si>
    <t>FK1310</t>
  </si>
  <si>
    <t>P4163</t>
  </si>
  <si>
    <t>FK1311</t>
  </si>
  <si>
    <t>P5461</t>
  </si>
  <si>
    <t>FK1312</t>
  </si>
  <si>
    <t>P6990</t>
  </si>
  <si>
    <t>FK1313</t>
  </si>
  <si>
    <t>FK1314</t>
  </si>
  <si>
    <t>P7674</t>
  </si>
  <si>
    <t>FK1315</t>
  </si>
  <si>
    <t>P1476</t>
  </si>
  <si>
    <t>FK1316</t>
  </si>
  <si>
    <t>FK1317</t>
  </si>
  <si>
    <t>P4486</t>
  </si>
  <si>
    <t>FK1318</t>
  </si>
  <si>
    <t>FK1319</t>
  </si>
  <si>
    <t>P6634</t>
  </si>
  <si>
    <t>FK1320</t>
  </si>
  <si>
    <t>P2104</t>
  </si>
  <si>
    <t>FK1321</t>
  </si>
  <si>
    <t>P1532</t>
  </si>
  <si>
    <t>FK1322</t>
  </si>
  <si>
    <t>P8144</t>
  </si>
  <si>
    <t>FK1323</t>
  </si>
  <si>
    <t>C960</t>
  </si>
  <si>
    <t>P2749</t>
  </si>
  <si>
    <t>FK1324</t>
  </si>
  <si>
    <t>C515</t>
  </si>
  <si>
    <t>P3835</t>
  </si>
  <si>
    <t>FK1325</t>
  </si>
  <si>
    <t>P3013</t>
  </si>
  <si>
    <t>FK1326</t>
  </si>
  <si>
    <t>C299</t>
  </si>
  <si>
    <t>P1224</t>
  </si>
  <si>
    <t>FK1327</t>
  </si>
  <si>
    <t>P9394</t>
  </si>
  <si>
    <t>FK1328</t>
  </si>
  <si>
    <t>C497</t>
  </si>
  <si>
    <t>P8352</t>
  </si>
  <si>
    <t>FK1329</t>
  </si>
  <si>
    <t>P1225</t>
  </si>
  <si>
    <t>FK1330</t>
  </si>
  <si>
    <t>P3046</t>
  </si>
  <si>
    <t>FK1331</t>
  </si>
  <si>
    <t>FK1332</t>
  </si>
  <si>
    <t>P8915</t>
  </si>
  <si>
    <t>FK1333</t>
  </si>
  <si>
    <t>P8984</t>
  </si>
  <si>
    <t>FK1334</t>
  </si>
  <si>
    <t>C594</t>
  </si>
  <si>
    <t>P1824</t>
  </si>
  <si>
    <t>FK1335</t>
  </si>
  <si>
    <t>C456</t>
  </si>
  <si>
    <t>P5023</t>
  </si>
  <si>
    <t>FK1336</t>
  </si>
  <si>
    <t>P5382</t>
  </si>
  <si>
    <t>FK1337</t>
  </si>
  <si>
    <t>P7465</t>
  </si>
  <si>
    <t>FK1338</t>
  </si>
  <si>
    <t>C964</t>
  </si>
  <si>
    <t>P7970</t>
  </si>
  <si>
    <t>FK1339</t>
  </si>
  <si>
    <t>P8472</t>
  </si>
  <si>
    <t>FK1340</t>
  </si>
  <si>
    <t>P3993</t>
  </si>
  <si>
    <t>FK1341</t>
  </si>
  <si>
    <t>P8968</t>
  </si>
  <si>
    <t>FK1342</t>
  </si>
  <si>
    <t>P5282</t>
  </si>
  <si>
    <t>FK1343</t>
  </si>
  <si>
    <t>P7462</t>
  </si>
  <si>
    <t>FK1344</t>
  </si>
  <si>
    <t>P4773</t>
  </si>
  <si>
    <t>FK1345</t>
  </si>
  <si>
    <t>C441</t>
  </si>
  <si>
    <t>P9590</t>
  </si>
  <si>
    <t>FK1346</t>
  </si>
  <si>
    <t>P3949</t>
  </si>
  <si>
    <t>FK1347</t>
  </si>
  <si>
    <t>P1832</t>
  </si>
  <si>
    <t>FK1348</t>
  </si>
  <si>
    <t>P3335</t>
  </si>
  <si>
    <t>FK1349</t>
  </si>
  <si>
    <t>P4847</t>
  </si>
  <si>
    <t>FK1350</t>
  </si>
  <si>
    <t>C853</t>
  </si>
  <si>
    <t>P9349</t>
  </si>
  <si>
    <t>FK1351</t>
  </si>
  <si>
    <t>C517</t>
  </si>
  <si>
    <t>P5321</t>
  </si>
  <si>
    <t>FK1352</t>
  </si>
  <si>
    <t>P5676</t>
  </si>
  <si>
    <t>FK1353</t>
  </si>
  <si>
    <t>C374</t>
  </si>
  <si>
    <t>P4904</t>
  </si>
  <si>
    <t>FK1354</t>
  </si>
  <si>
    <t>P1341</t>
  </si>
  <si>
    <t>FK1355</t>
  </si>
  <si>
    <t>P4577</t>
  </si>
  <si>
    <t>FK1356</t>
  </si>
  <si>
    <t>P2971</t>
  </si>
  <si>
    <t>FK1357</t>
  </si>
  <si>
    <t>C265</t>
  </si>
  <si>
    <t>FK1358</t>
  </si>
  <si>
    <t>P8949</t>
  </si>
  <si>
    <t>FK1359</t>
  </si>
  <si>
    <t>P1791</t>
  </si>
  <si>
    <t>FK1360</t>
  </si>
  <si>
    <t>C628</t>
  </si>
  <si>
    <t>P3434</t>
  </si>
  <si>
    <t>FK1361</t>
  </si>
  <si>
    <t>P2398</t>
  </si>
  <si>
    <t>FK1362</t>
  </si>
  <si>
    <t>C510</t>
  </si>
  <si>
    <t>P6148</t>
  </si>
  <si>
    <t>FK1363</t>
  </si>
  <si>
    <t>P2345</t>
  </si>
  <si>
    <t>FK1364</t>
  </si>
  <si>
    <t>P2406</t>
  </si>
  <si>
    <t>FK1365</t>
  </si>
  <si>
    <t>P5408</t>
  </si>
  <si>
    <t>FK1366</t>
  </si>
  <si>
    <t>C211</t>
  </si>
  <si>
    <t>P6445</t>
  </si>
  <si>
    <t>FK1367</t>
  </si>
  <si>
    <t>P6639</t>
  </si>
  <si>
    <t>FK1368</t>
  </si>
  <si>
    <t>P7897</t>
  </si>
  <si>
    <t>FK1369</t>
  </si>
  <si>
    <t>P9722</t>
  </si>
  <si>
    <t>FK1370</t>
  </si>
  <si>
    <t>C293</t>
  </si>
  <si>
    <t>P5327</t>
  </si>
  <si>
    <t>FK1371</t>
  </si>
  <si>
    <t>P1178</t>
  </si>
  <si>
    <t>FK1372</t>
  </si>
  <si>
    <t>P2769</t>
  </si>
  <si>
    <t>FK1373</t>
  </si>
  <si>
    <t>P5399</t>
  </si>
  <si>
    <t>FK1374</t>
  </si>
  <si>
    <t>P9913</t>
  </si>
  <si>
    <t>FK1375</t>
  </si>
  <si>
    <t>P5622</t>
  </si>
  <si>
    <t>FK1376</t>
  </si>
  <si>
    <t>C865</t>
  </si>
  <si>
    <t>P9675</t>
  </si>
  <si>
    <t>FK1377</t>
  </si>
  <si>
    <t>P9641</t>
  </si>
  <si>
    <t>FK1378</t>
  </si>
  <si>
    <t>C785</t>
  </si>
  <si>
    <t>P9042</t>
  </si>
  <si>
    <t>FK1379</t>
  </si>
  <si>
    <t>P3286</t>
  </si>
  <si>
    <t>FK1380</t>
  </si>
  <si>
    <t>P1459</t>
  </si>
  <si>
    <t>FK1381</t>
  </si>
  <si>
    <t>FK1382</t>
  </si>
  <si>
    <t>C918</t>
  </si>
  <si>
    <t>FK1383</t>
  </si>
  <si>
    <t>P1203</t>
  </si>
  <si>
    <t>FK1384</t>
  </si>
  <si>
    <t>P9769</t>
  </si>
  <si>
    <t>FK1385</t>
  </si>
  <si>
    <t>C111</t>
  </si>
  <si>
    <t>P5615</t>
  </si>
  <si>
    <t>FK1386</t>
  </si>
  <si>
    <t>P3433</t>
  </si>
  <si>
    <t>FK1387</t>
  </si>
  <si>
    <t>P2902</t>
  </si>
  <si>
    <t>FK1388</t>
  </si>
  <si>
    <t>FK1389</t>
  </si>
  <si>
    <t>P3677</t>
  </si>
  <si>
    <t>FK1390</t>
  </si>
  <si>
    <t>P6538</t>
  </si>
  <si>
    <t>FK1391</t>
  </si>
  <si>
    <t>P9542</t>
  </si>
  <si>
    <t>FK1392</t>
  </si>
  <si>
    <t>P3121</t>
  </si>
  <si>
    <t>FK1393</t>
  </si>
  <si>
    <t>C213</t>
  </si>
  <si>
    <t>FK1394</t>
  </si>
  <si>
    <t>P4567</t>
  </si>
  <si>
    <t>FK1395</t>
  </si>
  <si>
    <t>P5942</t>
  </si>
  <si>
    <t>FK1396</t>
  </si>
  <si>
    <t>P6936</t>
  </si>
  <si>
    <t>FK1397</t>
  </si>
  <si>
    <t>C901</t>
  </si>
  <si>
    <t>P4277</t>
  </si>
  <si>
    <t>FK1398</t>
  </si>
  <si>
    <t>C954</t>
  </si>
  <si>
    <t>P9339</t>
  </si>
  <si>
    <t>FK1399</t>
  </si>
  <si>
    <t>P9960</t>
  </si>
  <si>
    <t>FK1400</t>
  </si>
  <si>
    <t>P5292</t>
  </si>
  <si>
    <t>FK1401</t>
  </si>
  <si>
    <t>C759</t>
  </si>
  <si>
    <t>P3543</t>
  </si>
  <si>
    <t>FK1402</t>
  </si>
  <si>
    <t>P3691</t>
  </si>
  <si>
    <t>FK1403</t>
  </si>
  <si>
    <t>P7706</t>
  </si>
  <si>
    <t>FK1404</t>
  </si>
  <si>
    <t>P7066</t>
  </si>
  <si>
    <t>FK1405</t>
  </si>
  <si>
    <t>P1582</t>
  </si>
  <si>
    <t>FK1406</t>
  </si>
  <si>
    <t>C110</t>
  </si>
  <si>
    <t>FK1407</t>
  </si>
  <si>
    <t>P3611</t>
  </si>
  <si>
    <t>FK1408</t>
  </si>
  <si>
    <t>P2936</t>
  </si>
  <si>
    <t>FK1409</t>
  </si>
  <si>
    <t>P5125</t>
  </si>
  <si>
    <t>FK1410</t>
  </si>
  <si>
    <t>C279</t>
  </si>
  <si>
    <t>P8351</t>
  </si>
  <si>
    <t>FK1411</t>
  </si>
  <si>
    <t>P5945</t>
  </si>
  <si>
    <t>FK1412</t>
  </si>
  <si>
    <t>P6047</t>
  </si>
  <si>
    <t>FK1413</t>
  </si>
  <si>
    <t>P6318</t>
  </si>
  <si>
    <t>FK1414</t>
  </si>
  <si>
    <t>P2699</t>
  </si>
  <si>
    <t>FK1415</t>
  </si>
  <si>
    <t>P8787</t>
  </si>
  <si>
    <t>FK1416</t>
  </si>
  <si>
    <t>P8310</t>
  </si>
  <si>
    <t>FK1417</t>
  </si>
  <si>
    <t>P6054</t>
  </si>
  <si>
    <t>FK1418</t>
  </si>
  <si>
    <t>P8897</t>
  </si>
  <si>
    <t>FK1419</t>
  </si>
  <si>
    <t>P7228</t>
  </si>
  <si>
    <t>FK1420</t>
  </si>
  <si>
    <t>P7845</t>
  </si>
  <si>
    <t>FK1421</t>
  </si>
  <si>
    <t>C730</t>
  </si>
  <si>
    <t>FK1422</t>
  </si>
  <si>
    <t>P3533</t>
  </si>
  <si>
    <t>FK1423</t>
  </si>
  <si>
    <t>P7966</t>
  </si>
  <si>
    <t>FK1424</t>
  </si>
  <si>
    <t>C256</t>
  </si>
  <si>
    <t>P6490</t>
  </si>
  <si>
    <t>FK1425</t>
  </si>
  <si>
    <t>P4456</t>
  </si>
  <si>
    <t>FK1426</t>
  </si>
  <si>
    <t>P7119</t>
  </si>
  <si>
    <t>FK1427</t>
  </si>
  <si>
    <t>C566</t>
  </si>
  <si>
    <t>P7606</t>
  </si>
  <si>
    <t>FK1428</t>
  </si>
  <si>
    <t>C114</t>
  </si>
  <si>
    <t>P2792</t>
  </si>
  <si>
    <t>FK1429</t>
  </si>
  <si>
    <t>C620</t>
  </si>
  <si>
    <t>P1347</t>
  </si>
  <si>
    <t>FK1430</t>
  </si>
  <si>
    <t>P5082</t>
  </si>
  <si>
    <t>FK1431</t>
  </si>
  <si>
    <t>C902</t>
  </si>
  <si>
    <t>P5661</t>
  </si>
  <si>
    <t>FK1432</t>
  </si>
  <si>
    <t>P1889</t>
  </si>
  <si>
    <t>FK1433</t>
  </si>
  <si>
    <t>P6317</t>
  </si>
  <si>
    <t>FK1434</t>
  </si>
  <si>
    <t>FK1435</t>
  </si>
  <si>
    <t>P4812</t>
  </si>
  <si>
    <t>FK1436</t>
  </si>
  <si>
    <t>P2169</t>
  </si>
  <si>
    <t>FK1437</t>
  </si>
  <si>
    <t>C857</t>
  </si>
  <si>
    <t>P6515</t>
  </si>
  <si>
    <t>FK1438</t>
  </si>
  <si>
    <t>P8758</t>
  </si>
  <si>
    <t>FK1439</t>
  </si>
  <si>
    <t>P5798</t>
  </si>
  <si>
    <t>FK1440</t>
  </si>
  <si>
    <t>P4850</t>
  </si>
  <si>
    <t>FK1441</t>
  </si>
  <si>
    <t>P6951</t>
  </si>
  <si>
    <t>FK1442</t>
  </si>
  <si>
    <t>P9878</t>
  </si>
  <si>
    <t>FK1443</t>
  </si>
  <si>
    <t>P6856</t>
  </si>
  <si>
    <t>FK1444</t>
  </si>
  <si>
    <t>P7157</t>
  </si>
  <si>
    <t>FK1445</t>
  </si>
  <si>
    <t>P4292</t>
  </si>
  <si>
    <t>FK1446</t>
  </si>
  <si>
    <t>P4056</t>
  </si>
  <si>
    <t>FK1447</t>
  </si>
  <si>
    <t>P1045</t>
  </si>
  <si>
    <t>FK1448</t>
  </si>
  <si>
    <t>P7155</t>
  </si>
  <si>
    <t>FK1449</t>
  </si>
  <si>
    <t>P6971</t>
  </si>
  <si>
    <t>FK1450</t>
  </si>
  <si>
    <t>P6811</t>
  </si>
  <si>
    <t>FK1451</t>
  </si>
  <si>
    <t>P5118</t>
  </si>
  <si>
    <t>FK1452</t>
  </si>
  <si>
    <t>P7000</t>
  </si>
  <si>
    <t>FK1453</t>
  </si>
  <si>
    <t>P7653</t>
  </si>
  <si>
    <t>FK1454</t>
  </si>
  <si>
    <t>P2707</t>
  </si>
  <si>
    <t>FK1455</t>
  </si>
  <si>
    <t>P1346</t>
  </si>
  <si>
    <t>FK1456</t>
  </si>
  <si>
    <t>P2026</t>
  </si>
  <si>
    <t>FK1457</t>
  </si>
  <si>
    <t>P1827</t>
  </si>
  <si>
    <t>FK1458</t>
  </si>
  <si>
    <t>P3847</t>
  </si>
  <si>
    <t>FK1459</t>
  </si>
  <si>
    <t>FK1460</t>
  </si>
  <si>
    <t>P5859</t>
  </si>
  <si>
    <t>FK1461</t>
  </si>
  <si>
    <t>P2563</t>
  </si>
  <si>
    <t>FK1462</t>
  </si>
  <si>
    <t>P2848</t>
  </si>
  <si>
    <t>FK1463</t>
  </si>
  <si>
    <t>P4972</t>
  </si>
  <si>
    <t>FK1464</t>
  </si>
  <si>
    <t>P2247</t>
  </si>
  <si>
    <t>FK1465</t>
  </si>
  <si>
    <t>P5875</t>
  </si>
  <si>
    <t>FK1466</t>
  </si>
  <si>
    <t>C590</t>
  </si>
  <si>
    <t>P7589</t>
  </si>
  <si>
    <t>FK1467</t>
  </si>
  <si>
    <t>C847</t>
  </si>
  <si>
    <t>P7470</t>
  </si>
  <si>
    <t>FK1468</t>
  </si>
  <si>
    <t>FK1469</t>
  </si>
  <si>
    <t>P7058</t>
  </si>
  <si>
    <t>FK1470</t>
  </si>
  <si>
    <t>FK1471</t>
  </si>
  <si>
    <t>P7122</t>
  </si>
  <si>
    <t>FK1472</t>
  </si>
  <si>
    <t>P3320</t>
  </si>
  <si>
    <t>FK1473</t>
  </si>
  <si>
    <t>P9813</t>
  </si>
  <si>
    <t>FK1474</t>
  </si>
  <si>
    <t>P5418</t>
  </si>
  <si>
    <t>FK1475</t>
  </si>
  <si>
    <t>P3925</t>
  </si>
  <si>
    <t>FK1476</t>
  </si>
  <si>
    <t>P7902</t>
  </si>
  <si>
    <t>FK1477</t>
  </si>
  <si>
    <t>C304</t>
  </si>
  <si>
    <t>FK1478</t>
  </si>
  <si>
    <t>P6466</t>
  </si>
  <si>
    <t>FK1479</t>
  </si>
  <si>
    <t>C239</t>
  </si>
  <si>
    <t>P8214</t>
  </si>
  <si>
    <t>FK1480</t>
  </si>
  <si>
    <t>P3399</t>
  </si>
  <si>
    <t>FK1481</t>
  </si>
  <si>
    <t>P4961</t>
  </si>
  <si>
    <t>FK1482</t>
  </si>
  <si>
    <t>FK1483</t>
  </si>
  <si>
    <t>P6253</t>
  </si>
  <si>
    <t>FK1484</t>
  </si>
  <si>
    <t>P1611</t>
  </si>
  <si>
    <t>FK1485</t>
  </si>
  <si>
    <t>C861</t>
  </si>
  <si>
    <t>P4148</t>
  </si>
  <si>
    <t>FK1486</t>
  </si>
  <si>
    <t>P8189</t>
  </si>
  <si>
    <t>FK1487</t>
  </si>
  <si>
    <t>FK1488</t>
  </si>
  <si>
    <t>P9124</t>
  </si>
  <si>
    <t>FK1489</t>
  </si>
  <si>
    <t>P9873</t>
  </si>
  <si>
    <t>FK1490</t>
  </si>
  <si>
    <t>P7865</t>
  </si>
  <si>
    <t>FK1491</t>
  </si>
  <si>
    <t>P9198</t>
  </si>
  <si>
    <t>FK1492</t>
  </si>
  <si>
    <t>C289</t>
  </si>
  <si>
    <t>P4680</t>
  </si>
  <si>
    <t>FK1493</t>
  </si>
  <si>
    <t>P6074</t>
  </si>
  <si>
    <t>FK1494</t>
  </si>
  <si>
    <t>P2747</t>
  </si>
  <si>
    <t>FK1495</t>
  </si>
  <si>
    <t>P3497</t>
  </si>
  <si>
    <t>FK1496</t>
  </si>
  <si>
    <t>P4193</t>
  </si>
  <si>
    <t>FK1497</t>
  </si>
  <si>
    <t>P3960</t>
  </si>
  <si>
    <t>FK1498</t>
  </si>
  <si>
    <t>P9551</t>
  </si>
  <si>
    <t>FK1499</t>
  </si>
  <si>
    <t>FK1500</t>
  </si>
  <si>
    <t>P4212</t>
  </si>
  <si>
    <t>FK1501</t>
  </si>
  <si>
    <t>P5632</t>
  </si>
  <si>
    <t>FK1502</t>
  </si>
  <si>
    <t>C234</t>
  </si>
  <si>
    <t>P2930</t>
  </si>
  <si>
    <t>FK1503</t>
  </si>
  <si>
    <t>P1162</t>
  </si>
  <si>
    <t>FK1504</t>
  </si>
  <si>
    <t>FK1505</t>
  </si>
  <si>
    <t>P9640</t>
  </si>
  <si>
    <t>FK1506</t>
  </si>
  <si>
    <t>P9607</t>
  </si>
  <si>
    <t>FK1507</t>
  </si>
  <si>
    <t>C756</t>
  </si>
  <si>
    <t>P4035</t>
  </si>
  <si>
    <t>FK1508</t>
  </si>
  <si>
    <t>C949</t>
  </si>
  <si>
    <t>P9733</t>
  </si>
  <si>
    <t>FK1509</t>
  </si>
  <si>
    <t>P3886</t>
  </si>
  <si>
    <t>FK1510</t>
  </si>
  <si>
    <t>P1325</t>
  </si>
  <si>
    <t>FK1511</t>
  </si>
  <si>
    <t>P7357</t>
  </si>
  <si>
    <t>FK1512</t>
  </si>
  <si>
    <t>P5734</t>
  </si>
  <si>
    <t>FK1513</t>
  </si>
  <si>
    <t>P3066</t>
  </si>
  <si>
    <t>FK1514</t>
  </si>
  <si>
    <t>FK1515</t>
  </si>
  <si>
    <t>P8054</t>
  </si>
  <si>
    <t>FK1516</t>
  </si>
  <si>
    <t>C584</t>
  </si>
  <si>
    <t>FK1517</t>
  </si>
  <si>
    <t>P8422</t>
  </si>
  <si>
    <t>FK1518</t>
  </si>
  <si>
    <t>P5266</t>
  </si>
  <si>
    <t>FK1519</t>
  </si>
  <si>
    <t>P4327</t>
  </si>
  <si>
    <t>FK1520</t>
  </si>
  <si>
    <t>P7309</t>
  </si>
  <si>
    <t>FK1521</t>
  </si>
  <si>
    <t>C898</t>
  </si>
  <si>
    <t>FK1522</t>
  </si>
  <si>
    <t>P9734</t>
  </si>
  <si>
    <t>FK1523</t>
  </si>
  <si>
    <t>C399</t>
  </si>
  <si>
    <t>P4998</t>
  </si>
  <si>
    <t>FK1524</t>
  </si>
  <si>
    <t>P2158</t>
  </si>
  <si>
    <t>FK1525</t>
  </si>
  <si>
    <t>P8459</t>
  </si>
  <si>
    <t>FK1526</t>
  </si>
  <si>
    <t>P5166</t>
  </si>
  <si>
    <t>FK1527</t>
  </si>
  <si>
    <t>P3577</t>
  </si>
  <si>
    <t>FK1528</t>
  </si>
  <si>
    <t>P1409</t>
  </si>
  <si>
    <t>FK1529</t>
  </si>
  <si>
    <t>C658</t>
  </si>
  <si>
    <t>P9073</t>
  </si>
  <si>
    <t>FK1530</t>
  </si>
  <si>
    <t>P4783</t>
  </si>
  <si>
    <t>FK1531</t>
  </si>
  <si>
    <t>P5715</t>
  </si>
  <si>
    <t>FK1532</t>
  </si>
  <si>
    <t>P8265</t>
  </si>
  <si>
    <t>FK1533</t>
  </si>
  <si>
    <t>P3225</t>
  </si>
  <si>
    <t>FK1534</t>
  </si>
  <si>
    <t>P3022</t>
  </si>
  <si>
    <t>FK1535</t>
  </si>
  <si>
    <t>P3447</t>
  </si>
  <si>
    <t>FK1536</t>
  </si>
  <si>
    <t>FK1537</t>
  </si>
  <si>
    <t>P9095</t>
  </si>
  <si>
    <t>FK1538</t>
  </si>
  <si>
    <t>C341</t>
  </si>
  <si>
    <t>P8745</t>
  </si>
  <si>
    <t>FK1539</t>
  </si>
  <si>
    <t>P8809</t>
  </si>
  <si>
    <t>FK1540</t>
  </si>
  <si>
    <t>P8777</t>
  </si>
  <si>
    <t>FK1541</t>
  </si>
  <si>
    <t>P6123</t>
  </si>
  <si>
    <t>FK1542</t>
  </si>
  <si>
    <t>P5536</t>
  </si>
  <si>
    <t>FK1543</t>
  </si>
  <si>
    <t>P8381</t>
  </si>
  <si>
    <t>FK1544</t>
  </si>
  <si>
    <t>P5805</t>
  </si>
  <si>
    <t>FK1545</t>
  </si>
  <si>
    <t>P1417</t>
  </si>
  <si>
    <t>FK1546</t>
  </si>
  <si>
    <t>FK1547</t>
  </si>
  <si>
    <t>P9301</t>
  </si>
  <si>
    <t>FK1548</t>
  </si>
  <si>
    <t>P7483</t>
  </si>
  <si>
    <t>FK1549</t>
  </si>
  <si>
    <t>C460</t>
  </si>
  <si>
    <t>P3094</t>
  </si>
  <si>
    <t>FK1550</t>
  </si>
  <si>
    <t>P6824</t>
  </si>
  <si>
    <t>FK1551</t>
  </si>
  <si>
    <t>P2989</t>
  </si>
  <si>
    <t>FK1552</t>
  </si>
  <si>
    <t>P4232</t>
  </si>
  <si>
    <t>FK1553</t>
  </si>
  <si>
    <t>P3438</t>
  </si>
  <si>
    <t>FK1554</t>
  </si>
  <si>
    <t>P2556</t>
  </si>
  <si>
    <t>FK1555</t>
  </si>
  <si>
    <t>C893</t>
  </si>
  <si>
    <t>P4364</t>
  </si>
  <si>
    <t>FK1556</t>
  </si>
  <si>
    <t>FK1557</t>
  </si>
  <si>
    <t>C541</t>
  </si>
  <si>
    <t>P6258</t>
  </si>
  <si>
    <t>FK1558</t>
  </si>
  <si>
    <t>FK1559</t>
  </si>
  <si>
    <t>P3772</t>
  </si>
  <si>
    <t>FK1560</t>
  </si>
  <si>
    <t>FK1561</t>
  </si>
  <si>
    <t>P7322</t>
  </si>
  <si>
    <t>FK1562</t>
  </si>
  <si>
    <t>C672</t>
  </si>
  <si>
    <t>P4786</t>
  </si>
  <si>
    <t>FK1563</t>
  </si>
  <si>
    <t>P3164</t>
  </si>
  <si>
    <t>FK1564</t>
  </si>
  <si>
    <t>FK1565</t>
  </si>
  <si>
    <t>P2202</t>
  </si>
  <si>
    <t>FK1566</t>
  </si>
  <si>
    <t>P1795</t>
  </si>
  <si>
    <t>FK1567</t>
  </si>
  <si>
    <t>P8253</t>
  </si>
  <si>
    <t>FK1568</t>
  </si>
  <si>
    <t>C331</t>
  </si>
  <si>
    <t>P6686</t>
  </si>
  <si>
    <t>FK1569</t>
  </si>
  <si>
    <t>P8738</t>
  </si>
  <si>
    <t>FK1570</t>
  </si>
  <si>
    <t>FK1571</t>
  </si>
  <si>
    <t>FK1572</t>
  </si>
  <si>
    <t>C188</t>
  </si>
  <si>
    <t>P7137</t>
  </si>
  <si>
    <t>FK1573</t>
  </si>
  <si>
    <t>C498</t>
  </si>
  <si>
    <t>P9525</t>
  </si>
  <si>
    <t>FK1574</t>
  </si>
  <si>
    <t>P4307</t>
  </si>
  <si>
    <t>FK1575</t>
  </si>
  <si>
    <t>P6991</t>
  </si>
  <si>
    <t>FK1576</t>
  </si>
  <si>
    <t>P9456</t>
  </si>
  <si>
    <t>FK1577</t>
  </si>
  <si>
    <t>P9296</t>
  </si>
  <si>
    <t>FK1578</t>
  </si>
  <si>
    <t>FK1579</t>
  </si>
  <si>
    <t>P7130</t>
  </si>
  <si>
    <t>FK1580</t>
  </si>
  <si>
    <t>P4659</t>
  </si>
  <si>
    <t>FK1581</t>
  </si>
  <si>
    <t>P8311</t>
  </si>
  <si>
    <t>FK1582</t>
  </si>
  <si>
    <t>FK1583</t>
  </si>
  <si>
    <t>C808</t>
  </si>
  <si>
    <t>P3639</t>
  </si>
  <si>
    <t>FK1584</t>
  </si>
  <si>
    <t>P3440</t>
  </si>
  <si>
    <t>FK1585</t>
  </si>
  <si>
    <t>P2369</t>
  </si>
  <si>
    <t>FK1586</t>
  </si>
  <si>
    <t>C919</t>
  </si>
  <si>
    <t>P4444</t>
  </si>
  <si>
    <t>FK1587</t>
  </si>
  <si>
    <t>P7649</t>
  </si>
  <si>
    <t>FK1588</t>
  </si>
  <si>
    <t>P5189</t>
  </si>
  <si>
    <t>FK1589</t>
  </si>
  <si>
    <t>C351</t>
  </si>
  <si>
    <t>P3968</t>
  </si>
  <si>
    <t>FK1590</t>
  </si>
  <si>
    <t>C768</t>
  </si>
  <si>
    <t>P1706</t>
  </si>
  <si>
    <t>FK1591</t>
  </si>
  <si>
    <t>C875</t>
  </si>
  <si>
    <t>P3885</t>
  </si>
  <si>
    <t>FK1592</t>
  </si>
  <si>
    <t>P7068</t>
  </si>
  <si>
    <t>FK1593</t>
  </si>
  <si>
    <t>P4531</t>
  </si>
  <si>
    <t>FK1594</t>
  </si>
  <si>
    <t>FK1595</t>
  </si>
  <si>
    <t>P3635</t>
  </si>
  <si>
    <t>FK1596</t>
  </si>
  <si>
    <t>FK1597</t>
  </si>
  <si>
    <t>P1714</t>
  </si>
  <si>
    <t>FK1598</t>
  </si>
  <si>
    <t>P7838</t>
  </si>
  <si>
    <t>FK1599</t>
  </si>
  <si>
    <t>FK1600</t>
  </si>
  <si>
    <t>P5369</t>
  </si>
  <si>
    <t>FK1601</t>
  </si>
  <si>
    <t>P5393</t>
  </si>
  <si>
    <t>FK1602</t>
  </si>
  <si>
    <t>P7097</t>
  </si>
  <si>
    <t>FK1603</t>
  </si>
  <si>
    <t>P4497</t>
  </si>
  <si>
    <t>FK1604</t>
  </si>
  <si>
    <t>P7135</t>
  </si>
  <si>
    <t>FK1605</t>
  </si>
  <si>
    <t>P4068</t>
  </si>
  <si>
    <t>FK1606</t>
  </si>
  <si>
    <t>C608</t>
  </si>
  <si>
    <t>P1604</t>
  </si>
  <si>
    <t>FK1607</t>
  </si>
  <si>
    <t>C402</t>
  </si>
  <si>
    <t>P1728</t>
  </si>
  <si>
    <t>FK1608</t>
  </si>
  <si>
    <t>FK1609</t>
  </si>
  <si>
    <t>P1658</t>
  </si>
  <si>
    <t>FK1610</t>
  </si>
  <si>
    <t>P9053</t>
  </si>
  <si>
    <t>FK1611</t>
  </si>
  <si>
    <t>P2337</t>
  </si>
  <si>
    <t>FK1612</t>
  </si>
  <si>
    <t>FK1613</t>
  </si>
  <si>
    <t>C889</t>
  </si>
  <si>
    <t>P3527</t>
  </si>
  <si>
    <t>FK1614</t>
  </si>
  <si>
    <t>C951</t>
  </si>
  <si>
    <t>P7435</t>
  </si>
  <si>
    <t>FK1615</t>
  </si>
  <si>
    <t>C748</t>
  </si>
  <si>
    <t>P7395</t>
  </si>
  <si>
    <t>FK1616</t>
  </si>
  <si>
    <t>P6646</t>
  </si>
  <si>
    <t>FK1617</t>
  </si>
  <si>
    <t>P7099</t>
  </si>
  <si>
    <t>FK1618</t>
  </si>
  <si>
    <t>P7141</t>
  </si>
  <si>
    <t>FK1619</t>
  </si>
  <si>
    <t>FK1620</t>
  </si>
  <si>
    <t>P1437</t>
  </si>
  <si>
    <t>FK1621</t>
  </si>
  <si>
    <t>FK1622</t>
  </si>
  <si>
    <t>P1783</t>
  </si>
  <si>
    <t>FK1623</t>
  </si>
  <si>
    <t>P3742</t>
  </si>
  <si>
    <t>FK1624</t>
  </si>
  <si>
    <t>P1440</t>
  </si>
  <si>
    <t>FK1625</t>
  </si>
  <si>
    <t>FK1626</t>
  </si>
  <si>
    <t>P2802</t>
  </si>
  <si>
    <t>FK1627</t>
  </si>
  <si>
    <t>FK1628</t>
  </si>
  <si>
    <t>P5849</t>
  </si>
  <si>
    <t>FK1629</t>
  </si>
  <si>
    <t>FK1630</t>
  </si>
  <si>
    <t>FK1631</t>
  </si>
  <si>
    <t>FK1632</t>
  </si>
  <si>
    <t>P2635</t>
  </si>
  <si>
    <t>FK1633</t>
  </si>
  <si>
    <t>P5426</t>
  </si>
  <si>
    <t>FK1634</t>
  </si>
  <si>
    <t>P2128</t>
  </si>
  <si>
    <t>FK1635</t>
  </si>
  <si>
    <t>P6433</t>
  </si>
  <si>
    <t>FK1636</t>
  </si>
  <si>
    <t>FK1637</t>
  </si>
  <si>
    <t>P9478</t>
  </si>
  <si>
    <t>FK1638</t>
  </si>
  <si>
    <t>C187</t>
  </si>
  <si>
    <t>P4181</t>
  </si>
  <si>
    <t>FK1639</t>
  </si>
  <si>
    <t>P2965</t>
  </si>
  <si>
    <t>FK1640</t>
  </si>
  <si>
    <t>P5692</t>
  </si>
  <si>
    <t>FK1641</t>
  </si>
  <si>
    <t>FK1642</t>
  </si>
  <si>
    <t>C642</t>
  </si>
  <si>
    <t>P5041</t>
  </si>
  <si>
    <t>FK1643</t>
  </si>
  <si>
    <t>P3800</t>
  </si>
  <si>
    <t>FK1644</t>
  </si>
  <si>
    <t>P3057</t>
  </si>
  <si>
    <t>FK1645</t>
  </si>
  <si>
    <t>P6716</t>
  </si>
  <si>
    <t>FK1646</t>
  </si>
  <si>
    <t>P4835</t>
  </si>
  <si>
    <t>FK1647</t>
  </si>
  <si>
    <t>P1716</t>
  </si>
  <si>
    <t>FK1648</t>
  </si>
  <si>
    <t>P3039</t>
  </si>
  <si>
    <t>FK1649</t>
  </si>
  <si>
    <t>C713</t>
  </si>
  <si>
    <t>P2469</t>
  </si>
  <si>
    <t>FK1650</t>
  </si>
  <si>
    <t>P7996</t>
  </si>
  <si>
    <t>FK1651</t>
  </si>
  <si>
    <t>P4050</t>
  </si>
  <si>
    <t>FK1652</t>
  </si>
  <si>
    <t>FK1653</t>
  </si>
  <si>
    <t>FK1654</t>
  </si>
  <si>
    <t>P1244</t>
  </si>
  <si>
    <t>FK1655</t>
  </si>
  <si>
    <t>C686</t>
  </si>
  <si>
    <t>FK1656</t>
  </si>
  <si>
    <t>P8862</t>
  </si>
  <si>
    <t>FK1657</t>
  </si>
  <si>
    <t>FK1658</t>
  </si>
  <si>
    <t>P7340</t>
  </si>
  <si>
    <t>FK1659</t>
  </si>
  <si>
    <t>P4500</t>
  </si>
  <si>
    <t>FK1660</t>
  </si>
  <si>
    <t>FK1661</t>
  </si>
  <si>
    <t>C283</t>
  </si>
  <si>
    <t>P8432</t>
  </si>
  <si>
    <t>FK1662</t>
  </si>
  <si>
    <t>P4022</t>
  </si>
  <si>
    <t>FK1663</t>
  </si>
  <si>
    <t>P5782</t>
  </si>
  <si>
    <t>FK1664</t>
  </si>
  <si>
    <t>C605</t>
  </si>
  <si>
    <t>FK1665</t>
  </si>
  <si>
    <t>P8032</t>
  </si>
  <si>
    <t>FK1666</t>
  </si>
  <si>
    <t>P2727</t>
  </si>
  <si>
    <t>FK1667</t>
  </si>
  <si>
    <t>C796</t>
  </si>
  <si>
    <t>P5039</t>
  </si>
  <si>
    <t>FK1668</t>
  </si>
  <si>
    <t>P8343</t>
  </si>
  <si>
    <t>FK1669</t>
  </si>
  <si>
    <t>P5129</t>
  </si>
  <si>
    <t>FK1670</t>
  </si>
  <si>
    <t>FK1671</t>
  </si>
  <si>
    <t>P5874</t>
  </si>
  <si>
    <t>FK1672</t>
  </si>
  <si>
    <t>FK1673</t>
  </si>
  <si>
    <t>P2816</t>
  </si>
  <si>
    <t>FK1674</t>
  </si>
  <si>
    <t>P2150</t>
  </si>
  <si>
    <t>FK1675</t>
  </si>
  <si>
    <t>P5919</t>
  </si>
  <si>
    <t>FK1676</t>
  </si>
  <si>
    <t>P8783</t>
  </si>
  <si>
    <t>FK1677</t>
  </si>
  <si>
    <t>P2229</t>
  </si>
  <si>
    <t>FK1678</t>
  </si>
  <si>
    <t>P4636</t>
  </si>
  <si>
    <t>FK1679</t>
  </si>
  <si>
    <t>P8547</t>
  </si>
  <si>
    <t>FK1680</t>
  </si>
  <si>
    <t>P1993</t>
  </si>
  <si>
    <t>FK1681</t>
  </si>
  <si>
    <t>P8363</t>
  </si>
  <si>
    <t>FK1682</t>
  </si>
  <si>
    <t>P5089</t>
  </si>
  <si>
    <t>FK1683</t>
  </si>
  <si>
    <t>P2385</t>
  </si>
  <si>
    <t>FK1684</t>
  </si>
  <si>
    <t>P7582</t>
  </si>
  <si>
    <t>FK1685</t>
  </si>
  <si>
    <t>P7480</t>
  </si>
  <si>
    <t>FK1686</t>
  </si>
  <si>
    <t>P4936</t>
  </si>
  <si>
    <t>FK1687</t>
  </si>
  <si>
    <t>P3554</t>
  </si>
  <si>
    <t>FK1688</t>
  </si>
  <si>
    <t>P8519</t>
  </si>
  <si>
    <t>FK1689</t>
  </si>
  <si>
    <t>P5834</t>
  </si>
  <si>
    <t>FK1690</t>
  </si>
  <si>
    <t>P2929</t>
  </si>
  <si>
    <t>FK1691</t>
  </si>
  <si>
    <t>P6496</t>
  </si>
  <si>
    <t>FK1692</t>
  </si>
  <si>
    <t>FK1693</t>
  </si>
  <si>
    <t>C240</t>
  </si>
  <si>
    <t>P1253</t>
  </si>
  <si>
    <t>FK1694</t>
  </si>
  <si>
    <t>P6823</t>
  </si>
  <si>
    <t>FK1695</t>
  </si>
  <si>
    <t>P7729</t>
  </si>
  <si>
    <t>FK1696</t>
  </si>
  <si>
    <t>C141</t>
  </si>
  <si>
    <t>P2518</t>
  </si>
  <si>
    <t>FK1697</t>
  </si>
  <si>
    <t>P3977</t>
  </si>
  <si>
    <t>FK1698</t>
  </si>
  <si>
    <t>C190</t>
  </si>
  <si>
    <t>P9029</t>
  </si>
  <si>
    <t>FK1699</t>
  </si>
  <si>
    <t>C687</t>
  </si>
  <si>
    <t>P3633</t>
  </si>
  <si>
    <t>FK1700</t>
  </si>
  <si>
    <t>C171</t>
  </si>
  <si>
    <t>P1762</t>
  </si>
  <si>
    <t>FK1701</t>
  </si>
  <si>
    <t>FK1702</t>
  </si>
  <si>
    <t>FK1703</t>
  </si>
  <si>
    <t>P8754</t>
  </si>
  <si>
    <t>FK1704</t>
  </si>
  <si>
    <t>C557</t>
  </si>
  <si>
    <t>P3163</t>
  </si>
  <si>
    <t>FK1705</t>
  </si>
  <si>
    <t>FK1706</t>
  </si>
  <si>
    <t>P7869</t>
  </si>
  <si>
    <t>FK1707</t>
  </si>
  <si>
    <t>C762</t>
  </si>
  <si>
    <t>P4558</t>
  </si>
  <si>
    <t>FK1708</t>
  </si>
  <si>
    <t>P9682</t>
  </si>
  <si>
    <t>FK1709</t>
  </si>
  <si>
    <t>FK1710</t>
  </si>
  <si>
    <t>FK1711</t>
  </si>
  <si>
    <t>P2152</t>
  </si>
  <si>
    <t>FK1712</t>
  </si>
  <si>
    <t>P2641</t>
  </si>
  <si>
    <t>FK1713</t>
  </si>
  <si>
    <t>P4481</t>
  </si>
  <si>
    <t>FK1714</t>
  </si>
  <si>
    <t>C979</t>
  </si>
  <si>
    <t>FK1715</t>
  </si>
  <si>
    <t>P9881</t>
  </si>
  <si>
    <t>FK1716</t>
  </si>
  <si>
    <t>P7186</t>
  </si>
  <si>
    <t>FK1717</t>
  </si>
  <si>
    <t>C869</t>
  </si>
  <si>
    <t>P3789</t>
  </si>
  <si>
    <t>FK1718</t>
  </si>
  <si>
    <t>FK1719</t>
  </si>
  <si>
    <t>P7543</t>
  </si>
  <si>
    <t>FK1720</t>
  </si>
  <si>
    <t>P2740</t>
  </si>
  <si>
    <t>FK1721</t>
  </si>
  <si>
    <t>P1968</t>
  </si>
  <si>
    <t>FK1722</t>
  </si>
  <si>
    <t>P1335</t>
  </si>
  <si>
    <t>FK1723</t>
  </si>
  <si>
    <t>FK1724</t>
  </si>
  <si>
    <t>P6257</t>
  </si>
  <si>
    <t>FK1725</t>
  </si>
  <si>
    <t>P1674</t>
  </si>
  <si>
    <t>FK1726</t>
  </si>
  <si>
    <t>P7588</t>
  </si>
  <si>
    <t>FK1727</t>
  </si>
  <si>
    <t>P2663</t>
  </si>
  <si>
    <t>FK1728</t>
  </si>
  <si>
    <t>FK1729</t>
  </si>
  <si>
    <t>P3268</t>
  </si>
  <si>
    <t>FK1730</t>
  </si>
  <si>
    <t>P7918</t>
  </si>
  <si>
    <t>FK1731</t>
  </si>
  <si>
    <t>P1038</t>
  </si>
  <si>
    <t>FK1732</t>
  </si>
  <si>
    <t>P2591</t>
  </si>
  <si>
    <t>FK1733</t>
  </si>
  <si>
    <t>P8286</t>
  </si>
  <si>
    <t>FK1734</t>
  </si>
  <si>
    <t>FK1735</t>
  </si>
  <si>
    <t>C973</t>
  </si>
  <si>
    <t>P5390</t>
  </si>
  <si>
    <t>FK1736</t>
  </si>
  <si>
    <t>FK1737</t>
  </si>
  <si>
    <t>C739</t>
  </si>
  <si>
    <t>FK1738</t>
  </si>
  <si>
    <t>C264</t>
  </si>
  <si>
    <t>P7121</t>
  </si>
  <si>
    <t>FK1739</t>
  </si>
  <si>
    <t>FK1740</t>
  </si>
  <si>
    <t>P1520</t>
  </si>
  <si>
    <t>FK1741</t>
  </si>
  <si>
    <t>FK1742</t>
  </si>
  <si>
    <t>FK1743</t>
  </si>
  <si>
    <t>P3119</t>
  </si>
  <si>
    <t>FK1744</t>
  </si>
  <si>
    <t>P1668</t>
  </si>
  <si>
    <t>FK1745</t>
  </si>
  <si>
    <t>P8850</t>
  </si>
  <si>
    <t>FK1746</t>
  </si>
  <si>
    <t>C688</t>
  </si>
  <si>
    <t>P2636</t>
  </si>
  <si>
    <t>FK1747</t>
  </si>
  <si>
    <t>P4450</t>
  </si>
  <si>
    <t>FK1748</t>
  </si>
  <si>
    <t>P4504</t>
  </si>
  <si>
    <t>FK1749</t>
  </si>
  <si>
    <t>FK1750</t>
  </si>
  <si>
    <t>P1336</t>
  </si>
  <si>
    <t>FK1751</t>
  </si>
  <si>
    <t>FK1752</t>
  </si>
  <si>
    <t>FK1753</t>
  </si>
  <si>
    <t>P6263</t>
  </si>
  <si>
    <t>FK1754</t>
  </si>
  <si>
    <t>C971</t>
  </si>
  <si>
    <t>FK1755</t>
  </si>
  <si>
    <t>P8386</t>
  </si>
  <si>
    <t>FK1756</t>
  </si>
  <si>
    <t>P5883</t>
  </si>
  <si>
    <t>FK1757</t>
  </si>
  <si>
    <t>C527</t>
  </si>
  <si>
    <t>P7835</t>
  </si>
  <si>
    <t>FK1758</t>
  </si>
  <si>
    <t>P2573</t>
  </si>
  <si>
    <t>FK1759</t>
  </si>
  <si>
    <t>P5739</t>
  </si>
  <si>
    <t>FK1760</t>
  </si>
  <si>
    <t>FK1761</t>
  </si>
  <si>
    <t>P9624</t>
  </si>
  <si>
    <t>FK1762</t>
  </si>
  <si>
    <t>P5612</t>
  </si>
  <si>
    <t>FK1763</t>
  </si>
  <si>
    <t>P8922</t>
  </si>
  <si>
    <t>FK1764</t>
  </si>
  <si>
    <t>P6209</t>
  </si>
  <si>
    <t>FK1765</t>
  </si>
  <si>
    <t>P4992</t>
  </si>
  <si>
    <t>FK1766</t>
  </si>
  <si>
    <t>P8475</t>
  </si>
  <si>
    <t>FK1767</t>
  </si>
  <si>
    <t>P9585</t>
  </si>
  <si>
    <t>FK1768</t>
  </si>
  <si>
    <t>P7252</t>
  </si>
  <si>
    <t>FK1769</t>
  </si>
  <si>
    <t>P4387</t>
  </si>
  <si>
    <t>FK1770</t>
  </si>
  <si>
    <t>P2156</t>
  </si>
  <si>
    <t>FK1771</t>
  </si>
  <si>
    <t>P4690</t>
  </si>
  <si>
    <t>FK1772</t>
  </si>
  <si>
    <t>P2534</t>
  </si>
  <si>
    <t>FK1773</t>
  </si>
  <si>
    <t>C929</t>
  </si>
  <si>
    <t>P1916</t>
  </si>
  <si>
    <t>FK1774</t>
  </si>
  <si>
    <t>FK1775</t>
  </si>
  <si>
    <t>P2746</t>
  </si>
  <si>
    <t>FK1776</t>
  </si>
  <si>
    <t>FK1777</t>
  </si>
  <si>
    <t>P4111</t>
  </si>
  <si>
    <t>FK1778</t>
  </si>
  <si>
    <t>P7537</t>
  </si>
  <si>
    <t>FK1779</t>
  </si>
  <si>
    <t>P2812</t>
  </si>
  <si>
    <t>FK1780</t>
  </si>
  <si>
    <t>C286</t>
  </si>
  <si>
    <t>P5658</t>
  </si>
  <si>
    <t>FK1781</t>
  </si>
  <si>
    <t>P4834</t>
  </si>
  <si>
    <t>FK1782</t>
  </si>
  <si>
    <t>C585</t>
  </si>
  <si>
    <t>P6943</t>
  </si>
  <si>
    <t>FK1783</t>
  </si>
  <si>
    <t>P7107</t>
  </si>
  <si>
    <t>FK1784</t>
  </si>
  <si>
    <t>C301</t>
  </si>
  <si>
    <t>P6776</t>
  </si>
  <si>
    <t>FK1785</t>
  </si>
  <si>
    <t>P7414</t>
  </si>
  <si>
    <t>FK1786</t>
  </si>
  <si>
    <t>P4487</t>
  </si>
  <si>
    <t>FK1787</t>
  </si>
  <si>
    <t>C555</t>
  </si>
  <si>
    <t>P1852</t>
  </si>
  <si>
    <t>FK1788</t>
  </si>
  <si>
    <t>C764</t>
  </si>
  <si>
    <t>P8892</t>
  </si>
  <si>
    <t>FK1789</t>
  </si>
  <si>
    <t>P2201</t>
  </si>
  <si>
    <t>FK1790</t>
  </si>
  <si>
    <t>P9724</t>
  </si>
  <si>
    <t>FK1791</t>
  </si>
  <si>
    <t>P8860</t>
  </si>
  <si>
    <t>FK1792</t>
  </si>
  <si>
    <t>FK1793</t>
  </si>
  <si>
    <t>FK1794</t>
  </si>
  <si>
    <t>P3982</t>
  </si>
  <si>
    <t>FK1795</t>
  </si>
  <si>
    <t>P7661</t>
  </si>
  <si>
    <t>FK1796</t>
  </si>
  <si>
    <t>FK1797</t>
  </si>
  <si>
    <t>P1587</t>
  </si>
  <si>
    <t>FK1798</t>
  </si>
  <si>
    <t>P5199</t>
  </si>
  <si>
    <t>FK1799</t>
  </si>
  <si>
    <t>FK1800</t>
  </si>
  <si>
    <t>P9213</t>
  </si>
  <si>
    <t>FK1801</t>
  </si>
  <si>
    <t>P2137</t>
  </si>
  <si>
    <t>FK1802</t>
  </si>
  <si>
    <t>P1826</t>
  </si>
  <si>
    <t>FK1803</t>
  </si>
  <si>
    <t>C859</t>
  </si>
  <si>
    <t>P4706</t>
  </si>
  <si>
    <t>FK1804</t>
  </si>
  <si>
    <t>P1602</t>
  </si>
  <si>
    <t>FK1805</t>
  </si>
  <si>
    <t>P4514</t>
  </si>
  <si>
    <t>FK1806</t>
  </si>
  <si>
    <t>C689</t>
  </si>
  <si>
    <t>P3165</t>
  </si>
  <si>
    <t>FK1807</t>
  </si>
  <si>
    <t>P6897</t>
  </si>
  <si>
    <t>FK1808</t>
  </si>
  <si>
    <t>C864</t>
  </si>
  <si>
    <t>P8561</t>
  </si>
  <si>
    <t>FK1809</t>
  </si>
  <si>
    <t>P1352</t>
  </si>
  <si>
    <t>FK1810</t>
  </si>
  <si>
    <t>FK1811</t>
  </si>
  <si>
    <t>P7332</t>
  </si>
  <si>
    <t>FK1812</t>
  </si>
  <si>
    <t>P4342</t>
  </si>
  <si>
    <t>FK1813</t>
  </si>
  <si>
    <t>P9104</t>
  </si>
  <si>
    <t>FK1814</t>
  </si>
  <si>
    <t>P8066</t>
  </si>
  <si>
    <t>FK1815</t>
  </si>
  <si>
    <t>C712</t>
  </si>
  <si>
    <t>P7695</t>
  </si>
  <si>
    <t>FK1816</t>
  </si>
  <si>
    <t>P9954</t>
  </si>
  <si>
    <t>FK1817</t>
  </si>
  <si>
    <t>FK1818</t>
  </si>
  <si>
    <t>P4964</t>
  </si>
  <si>
    <t>FK1819</t>
  </si>
  <si>
    <t>C845</t>
  </si>
  <si>
    <t>P9838</t>
  </si>
  <si>
    <t>FK1820</t>
  </si>
  <si>
    <t>P1154</t>
  </si>
  <si>
    <t>FK1821</t>
  </si>
  <si>
    <t>P8795</t>
  </si>
  <si>
    <t>FK1822</t>
  </si>
  <si>
    <t>P1012</t>
  </si>
  <si>
    <t>FK1823</t>
  </si>
  <si>
    <t>P9172</t>
  </si>
  <si>
    <t>FK1824</t>
  </si>
  <si>
    <t>C691</t>
  </si>
  <si>
    <t>FK1825</t>
  </si>
  <si>
    <t>P7232</t>
  </si>
  <si>
    <t>FK1826</t>
  </si>
  <si>
    <t>FK1827</t>
  </si>
  <si>
    <t>P7308</t>
  </si>
  <si>
    <t>FK1828</t>
  </si>
  <si>
    <t>P4366</t>
  </si>
  <si>
    <t>FK1829</t>
  </si>
  <si>
    <t>FK1830</t>
  </si>
  <si>
    <t>C637</t>
  </si>
  <si>
    <t>FK1831</t>
  </si>
  <si>
    <t>P2778</t>
  </si>
  <si>
    <t>FK1832</t>
  </si>
  <si>
    <t>P3221</t>
  </si>
  <si>
    <t>FK1833</t>
  </si>
  <si>
    <t>P1985</t>
  </si>
  <si>
    <t>FK1834</t>
  </si>
  <si>
    <t>P8977</t>
  </si>
  <si>
    <t>FK1835</t>
  </si>
  <si>
    <t>P7868</t>
  </si>
  <si>
    <t>FK1836</t>
  </si>
  <si>
    <t>P8719</t>
  </si>
  <si>
    <t>FK1837</t>
  </si>
  <si>
    <t>P6683</t>
  </si>
  <si>
    <t>FK1838</t>
  </si>
  <si>
    <t>P9544</t>
  </si>
  <si>
    <t>FK1839</t>
  </si>
  <si>
    <t>C415</t>
  </si>
  <si>
    <t>FK1840</t>
  </si>
  <si>
    <t>FK1841</t>
  </si>
  <si>
    <t>P1782</t>
  </si>
  <si>
    <t>FK1842</t>
  </si>
  <si>
    <t>FK1843</t>
  </si>
  <si>
    <t>P9520</t>
  </si>
  <si>
    <t>FK1844</t>
  </si>
  <si>
    <t>P4098</t>
  </si>
  <si>
    <t>FK1845</t>
  </si>
  <si>
    <t>P9655</t>
  </si>
  <si>
    <t>FK1846</t>
  </si>
  <si>
    <t>P6122</t>
  </si>
  <si>
    <t>FK1847</t>
  </si>
  <si>
    <t>P2179</t>
  </si>
  <si>
    <t>FK1848</t>
  </si>
  <si>
    <t>FK1849</t>
  </si>
  <si>
    <t>P3575</t>
  </si>
  <si>
    <t>FK1850</t>
  </si>
  <si>
    <t>P3573</t>
  </si>
  <si>
    <t>FK1851</t>
  </si>
  <si>
    <t>FK1852</t>
  </si>
  <si>
    <t>FK1853</t>
  </si>
  <si>
    <t>P3987</t>
  </si>
  <si>
    <t>FK1854</t>
  </si>
  <si>
    <t>P6533</t>
  </si>
  <si>
    <t>FK1855</t>
  </si>
  <si>
    <t>C939</t>
  </si>
  <si>
    <t>P1037</t>
  </si>
  <si>
    <t>FK1856</t>
  </si>
  <si>
    <t>FK1857</t>
  </si>
  <si>
    <t>P2970</t>
  </si>
  <si>
    <t>FK1858</t>
  </si>
  <si>
    <t>P5944</t>
  </si>
  <si>
    <t>FK1859</t>
  </si>
  <si>
    <t>P3638</t>
  </si>
  <si>
    <t>FK1860</t>
  </si>
  <si>
    <t>FK1861</t>
  </si>
  <si>
    <t>P6727</t>
  </si>
  <si>
    <t>FK1862</t>
  </si>
  <si>
    <t>FK1863</t>
  </si>
  <si>
    <t>C942</t>
  </si>
  <si>
    <t>P4549</t>
  </si>
  <si>
    <t>FK1864</t>
  </si>
  <si>
    <t>P3012</t>
  </si>
  <si>
    <t>FK1865</t>
  </si>
  <si>
    <t>C740</t>
  </si>
  <si>
    <t>P3032</t>
  </si>
  <si>
    <t>FK1866</t>
  </si>
  <si>
    <t>P7453</t>
  </si>
  <si>
    <t>FK1867</t>
  </si>
  <si>
    <t>C392</t>
  </si>
  <si>
    <t>P4954</t>
  </si>
  <si>
    <t>FK1868</t>
  </si>
  <si>
    <t>P7770</t>
  </si>
  <si>
    <t>FK1869</t>
  </si>
  <si>
    <t>P4537</t>
  </si>
  <si>
    <t>FK1870</t>
  </si>
  <si>
    <t>FK1871</t>
  </si>
  <si>
    <t>FK1872</t>
  </si>
  <si>
    <t>P3362</t>
  </si>
  <si>
    <t>FK1873</t>
  </si>
  <si>
    <t>FK1874</t>
  </si>
  <si>
    <t>P6751</t>
  </si>
  <si>
    <t>FK1875</t>
  </si>
  <si>
    <t>C313</t>
  </si>
  <si>
    <t>FK1876</t>
  </si>
  <si>
    <t>FK1877</t>
  </si>
  <si>
    <t>C578</t>
  </si>
  <si>
    <t>FK1878</t>
  </si>
  <si>
    <t>C300</t>
  </si>
  <si>
    <t>P3056</t>
  </si>
  <si>
    <t>FK1879</t>
  </si>
  <si>
    <t>P3750</t>
  </si>
  <si>
    <t>FK1880</t>
  </si>
  <si>
    <t>P5498</t>
  </si>
  <si>
    <t>FK1881</t>
  </si>
  <si>
    <t>FK1882</t>
  </si>
  <si>
    <t>FK1883</t>
  </si>
  <si>
    <t>C354</t>
  </si>
  <si>
    <t>P9364</t>
  </si>
  <si>
    <t>FK1884</t>
  </si>
  <si>
    <t>P7506</t>
  </si>
  <si>
    <t>FK1885</t>
  </si>
  <si>
    <t>P4326</t>
  </si>
  <si>
    <t>FK1886</t>
  </si>
  <si>
    <t>P6104</t>
  </si>
  <si>
    <t>FK1887</t>
  </si>
  <si>
    <t>P9803</t>
  </si>
  <si>
    <t>FK1888</t>
  </si>
  <si>
    <t>FK1889</t>
  </si>
  <si>
    <t>C158</t>
  </si>
  <si>
    <t>P9816</t>
  </si>
  <si>
    <t>FK1890</t>
  </si>
  <si>
    <t>P7275</t>
  </si>
  <si>
    <t>FK1891</t>
  </si>
  <si>
    <t>P9076</t>
  </si>
  <si>
    <t>FK1892</t>
  </si>
  <si>
    <t>P6888</t>
  </si>
  <si>
    <t>FK1893</t>
  </si>
  <si>
    <t>FK1894</t>
  </si>
  <si>
    <t>FK1895</t>
  </si>
  <si>
    <t>P2190</t>
  </si>
  <si>
    <t>FK1896</t>
  </si>
  <si>
    <t>FK1897</t>
  </si>
  <si>
    <t>P3594</t>
  </si>
  <si>
    <t>FK1898</t>
  </si>
  <si>
    <t>P5144</t>
  </si>
  <si>
    <t>FK1899</t>
  </si>
  <si>
    <t>P1903</t>
  </si>
  <si>
    <t>FK1900</t>
  </si>
  <si>
    <t>C575</t>
  </si>
  <si>
    <t>FK1901</t>
  </si>
  <si>
    <t>P5813</t>
  </si>
  <si>
    <t>FK1902</t>
  </si>
  <si>
    <t>P1683</t>
  </si>
  <si>
    <t>FK1903</t>
  </si>
  <si>
    <t>P5630</t>
  </si>
  <si>
    <t>FK1904</t>
  </si>
  <si>
    <t>C570</t>
  </si>
  <si>
    <t>FK1905</t>
  </si>
  <si>
    <t>P7717</t>
  </si>
  <si>
    <t>FK1906</t>
  </si>
  <si>
    <t>P1353</t>
  </si>
  <si>
    <t>FK1907</t>
  </si>
  <si>
    <t>P6530</t>
  </si>
  <si>
    <t>FK1908</t>
  </si>
  <si>
    <t>FK1909</t>
  </si>
  <si>
    <t>P1422</t>
  </si>
  <si>
    <t>FK1910</t>
  </si>
  <si>
    <t>C280</t>
  </si>
  <si>
    <t>P9617</t>
  </si>
  <si>
    <t>FK1911</t>
  </si>
  <si>
    <t>P5578</t>
  </si>
  <si>
    <t>FK1912</t>
  </si>
  <si>
    <t>P6817</t>
  </si>
  <si>
    <t>FK1913</t>
  </si>
  <si>
    <t>C153</t>
  </si>
  <si>
    <t>P8464</t>
  </si>
  <si>
    <t>FK1914</t>
  </si>
  <si>
    <t>FK1915</t>
  </si>
  <si>
    <t>C920</t>
  </si>
  <si>
    <t>P4166</t>
  </si>
  <si>
    <t>FK1916</t>
  </si>
  <si>
    <t>P1519</t>
  </si>
  <si>
    <t>FK1917</t>
  </si>
  <si>
    <t>FK1918</t>
  </si>
  <si>
    <t>FK1919</t>
  </si>
  <si>
    <t>FK1920</t>
  </si>
  <si>
    <t>P8406</t>
  </si>
  <si>
    <t>FK1921</t>
  </si>
  <si>
    <t>C316</t>
  </si>
  <si>
    <t>P5253</t>
  </si>
  <si>
    <t>FK1922</t>
  </si>
  <si>
    <t>FK1923</t>
  </si>
  <si>
    <t>P2252</t>
  </si>
  <si>
    <t>FK1924</t>
  </si>
  <si>
    <t>P8402</t>
  </si>
  <si>
    <t>FK1925</t>
  </si>
  <si>
    <t>P2651</t>
  </si>
  <si>
    <t>FK1926</t>
  </si>
  <si>
    <t>FK1927</t>
  </si>
  <si>
    <t>P7390</t>
  </si>
  <si>
    <t>FK1928</t>
  </si>
  <si>
    <t>P4241</t>
  </si>
  <si>
    <t>FK1929</t>
  </si>
  <si>
    <t>P9440</t>
  </si>
  <si>
    <t>FK1930</t>
  </si>
  <si>
    <t>C434</t>
  </si>
  <si>
    <t>P6749</t>
  </si>
  <si>
    <t>FK1931</t>
  </si>
  <si>
    <t>P1755</t>
  </si>
  <si>
    <t>FK1932</t>
  </si>
  <si>
    <t>P4125</t>
  </si>
  <si>
    <t>FK1933</t>
  </si>
  <si>
    <t>P9163</t>
  </si>
  <si>
    <t>FK1934</t>
  </si>
  <si>
    <t>P4073</t>
  </si>
  <si>
    <t>FK1935</t>
  </si>
  <si>
    <t>P3666</t>
  </si>
  <si>
    <t>FK1936</t>
  </si>
  <si>
    <t>P6247</t>
  </si>
  <si>
    <t>FK1937</t>
  </si>
  <si>
    <t>P2702</t>
  </si>
  <si>
    <t>FK1938</t>
  </si>
  <si>
    <t>P5440</t>
  </si>
  <si>
    <t>FK1939</t>
  </si>
  <si>
    <t>P2275</t>
  </si>
  <si>
    <t>FK1940</t>
  </si>
  <si>
    <t>P8309</t>
  </si>
  <si>
    <t>FK1941</t>
  </si>
  <si>
    <t>FK1942</t>
  </si>
  <si>
    <t>P6860</t>
  </si>
  <si>
    <t>FK1943</t>
  </si>
  <si>
    <t>P4736</t>
  </si>
  <si>
    <t>FK1944</t>
  </si>
  <si>
    <t>P6591</t>
  </si>
  <si>
    <t>FK1945</t>
  </si>
  <si>
    <t>P4984</t>
  </si>
  <si>
    <t>FK1946</t>
  </si>
  <si>
    <t>P5824</t>
  </si>
  <si>
    <t>FK1947</t>
  </si>
  <si>
    <t>FK1948</t>
  </si>
  <si>
    <t>P6542</t>
  </si>
  <si>
    <t>FK1949</t>
  </si>
  <si>
    <t>P5636</t>
  </si>
  <si>
    <t>FK1950</t>
  </si>
  <si>
    <t>P2330</t>
  </si>
  <si>
    <t>FK1951</t>
  </si>
  <si>
    <t>P2523</t>
  </si>
  <si>
    <t>FK1952</t>
  </si>
  <si>
    <t>P6082</t>
  </si>
  <si>
    <t>FK1953</t>
  </si>
  <si>
    <t>P5913</t>
  </si>
  <si>
    <t>FK1954</t>
  </si>
  <si>
    <t>P2766</t>
  </si>
  <si>
    <t>FK1955</t>
  </si>
  <si>
    <t>P7360</t>
  </si>
  <si>
    <t>FK1956</t>
  </si>
  <si>
    <t>P8052</t>
  </si>
  <si>
    <t>FK1957</t>
  </si>
  <si>
    <t>P7672</t>
  </si>
  <si>
    <t>FK1958</t>
  </si>
  <si>
    <t>P4546</t>
  </si>
  <si>
    <t>FK1959</t>
  </si>
  <si>
    <t>FK1960</t>
  </si>
  <si>
    <t>FK1961</t>
  </si>
  <si>
    <t>P8576</t>
  </si>
  <si>
    <t>FK1962</t>
  </si>
  <si>
    <t>FK1963</t>
  </si>
  <si>
    <t>P4315</t>
  </si>
  <si>
    <t>FK1964</t>
  </si>
  <si>
    <t>C431</t>
  </si>
  <si>
    <t>P9407</t>
  </si>
  <si>
    <t>FK1965</t>
  </si>
  <si>
    <t>P7812</t>
  </si>
  <si>
    <t>FK1966</t>
  </si>
  <si>
    <t>P4622</t>
  </si>
  <si>
    <t>FK1967</t>
  </si>
  <si>
    <t>P5050</t>
  </si>
  <si>
    <t>FK1968</t>
  </si>
  <si>
    <t>P7060</t>
  </si>
  <si>
    <t>FK1969</t>
  </si>
  <si>
    <t>C101</t>
  </si>
  <si>
    <t>P9775</t>
  </si>
  <si>
    <t>FK1970</t>
  </si>
  <si>
    <t>FK1971</t>
  </si>
  <si>
    <t>P7497</t>
  </si>
  <si>
    <t>FK1972</t>
  </si>
  <si>
    <t>P3807</t>
  </si>
  <si>
    <t>FK1973</t>
  </si>
  <si>
    <t>P6961</t>
  </si>
  <si>
    <t>FK1974</t>
  </si>
  <si>
    <t>FK1975</t>
  </si>
  <si>
    <t>P1485</t>
  </si>
  <si>
    <t>FK1976</t>
  </si>
  <si>
    <t>P2783</t>
  </si>
  <si>
    <t>FK1977</t>
  </si>
  <si>
    <t>P1654</t>
  </si>
  <si>
    <t>FK1978</t>
  </si>
  <si>
    <t>P1009</t>
  </si>
  <si>
    <t>FK1979</t>
  </si>
  <si>
    <t>P3122</t>
  </si>
  <si>
    <t>FK1980</t>
  </si>
  <si>
    <t>P6046</t>
  </si>
  <si>
    <t>FK1981</t>
  </si>
  <si>
    <t>FK1982</t>
  </si>
  <si>
    <t>P3325</t>
  </si>
  <si>
    <t>FK1983</t>
  </si>
  <si>
    <t>C907</t>
  </si>
  <si>
    <t>P6643</t>
  </si>
  <si>
    <t>FK1984</t>
  </si>
  <si>
    <t>P5772</t>
  </si>
  <si>
    <t>FK1985</t>
  </si>
  <si>
    <t>P5713</t>
  </si>
  <si>
    <t>FK1986</t>
  </si>
  <si>
    <t>FK1987</t>
  </si>
  <si>
    <t>P8748</t>
  </si>
  <si>
    <t>FK1988</t>
  </si>
  <si>
    <t>FK1989</t>
  </si>
  <si>
    <t>P7804</t>
  </si>
  <si>
    <t>FK1990</t>
  </si>
  <si>
    <t>P6013</t>
  </si>
  <si>
    <t>FK1991</t>
  </si>
  <si>
    <t>FK1992</t>
  </si>
  <si>
    <t>P8496</t>
  </si>
  <si>
    <t>FK1993</t>
  </si>
  <si>
    <t>P2748</t>
  </si>
  <si>
    <t>FK1994</t>
  </si>
  <si>
    <t>P2094</t>
  </si>
  <si>
    <t>FK1995</t>
  </si>
  <si>
    <t>P7355</t>
  </si>
  <si>
    <t>FK1996</t>
  </si>
  <si>
    <t>C986</t>
  </si>
  <si>
    <t>P7930</t>
  </si>
  <si>
    <t>FK1997</t>
  </si>
  <si>
    <t>C104</t>
  </si>
  <si>
    <t>P1848</t>
  </si>
  <si>
    <t>FK1998</t>
  </si>
  <si>
    <t>P2878</t>
  </si>
  <si>
    <t>FK1999</t>
  </si>
  <si>
    <t>FK2000</t>
  </si>
  <si>
    <t>P5128</t>
  </si>
  <si>
    <t>All</t>
  </si>
  <si>
    <t>Selections</t>
  </si>
  <si>
    <t>Total Sales</t>
  </si>
  <si>
    <t>Total Profit</t>
  </si>
  <si>
    <t>Total Orders</t>
  </si>
  <si>
    <t>Avg Rating</t>
  </si>
  <si>
    <t>Profit Margin %</t>
  </si>
  <si>
    <t>Month</t>
  </si>
  <si>
    <t>Top 10 Customers</t>
  </si>
  <si>
    <t>Revenue</t>
  </si>
  <si>
    <t>Payment Mode</t>
  </si>
  <si>
    <t>Interactive Sales Dashboard</t>
  </si>
  <si>
    <t>Filters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</si>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</sst>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"/>
    <numFmt numFmtId="181" formatCode="0.0%"/>
    <numFmt numFmtId="182" formatCode="mmm/yy"/>
    <numFmt numFmtId="183" formatCode="dd/mmm/yyyy"/>
  </numFmts>
  <fonts count="26">
    <font>
      <sz val="11"/>
      <color theme="1"/>
      <name val="Calibri"/>
      <charset val="134"/>
      <scheme val="minor"/>
    </font>
    <font>
      <b/>
      <sz val="20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6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F9D8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8FB9FD"/>
        <bgColor indexed="64"/>
      </patternFill>
    </fill>
    <fill>
      <patternFill patternType="solid">
        <fgColor rgb="FFFD8FDA"/>
        <bgColor indexed="64"/>
      </patternFill>
    </fill>
    <fill>
      <patternFill patternType="solid">
        <fgColor rgb="FF1CDCD3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3E31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3" borderId="7" applyNumberFormat="0" applyAlignment="0" applyProtection="0">
      <alignment vertical="center"/>
    </xf>
    <xf numFmtId="0" fontId="16" fillId="34" borderId="8" applyNumberFormat="0" applyAlignment="0" applyProtection="0">
      <alignment vertical="center"/>
    </xf>
    <xf numFmtId="0" fontId="17" fillId="34" borderId="7" applyNumberFormat="0" applyAlignment="0" applyProtection="0">
      <alignment vertical="center"/>
    </xf>
    <xf numFmtId="0" fontId="18" fillId="3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80" fontId="4" fillId="4" borderId="2" xfId="0" applyNumberFormat="1" applyFont="1" applyFill="1" applyBorder="1" applyAlignment="1">
      <alignment horizontal="center" vertical="center"/>
    </xf>
    <xf numFmtId="180" fontId="4" fillId="5" borderId="2" xfId="0" applyNumberFormat="1" applyFont="1" applyFill="1" applyBorder="1" applyAlignment="1">
      <alignment horizontal="center" vertical="center"/>
    </xf>
    <xf numFmtId="181" fontId="4" fillId="6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2" fontId="4" fillId="8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2" fillId="9" borderId="3" xfId="0" applyFont="1" applyFill="1" applyBorder="1"/>
    <xf numFmtId="0" fontId="0" fillId="0" borderId="3" xfId="0" applyBorder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3" xfId="0" applyFont="1" applyFill="1" applyBorder="1"/>
    <xf numFmtId="0" fontId="0" fillId="12" borderId="3" xfId="0" applyFill="1" applyBorder="1"/>
    <xf numFmtId="180" fontId="0" fillId="16" borderId="0" xfId="0" applyNumberFormat="1" applyFill="1"/>
    <xf numFmtId="180" fontId="0" fillId="17" borderId="0" xfId="0" applyNumberFormat="1" applyFill="1"/>
    <xf numFmtId="1" fontId="0" fillId="18" borderId="0" xfId="0" applyNumberFormat="1" applyFill="1"/>
    <xf numFmtId="2" fontId="0" fillId="19" borderId="0" xfId="0" applyNumberFormat="1" applyFill="1"/>
    <xf numFmtId="181" fontId="0" fillId="20" borderId="0" xfId="0" applyNumberFormat="1" applyFill="1"/>
    <xf numFmtId="0" fontId="2" fillId="21" borderId="3" xfId="0" applyFont="1" applyFill="1" applyBorder="1"/>
    <xf numFmtId="0" fontId="2" fillId="22" borderId="3" xfId="0" applyFont="1" applyFill="1" applyBorder="1"/>
    <xf numFmtId="0" fontId="2" fillId="23" borderId="3" xfId="0" applyFont="1" applyFill="1" applyBorder="1"/>
    <xf numFmtId="0" fontId="2" fillId="10" borderId="3" xfId="0" applyFont="1" applyFill="1" applyBorder="1"/>
    <xf numFmtId="0" fontId="2" fillId="24" borderId="3" xfId="0" applyFont="1" applyFill="1" applyBorder="1"/>
    <xf numFmtId="0" fontId="2" fillId="18" borderId="3" xfId="0" applyFont="1" applyFill="1" applyBorder="1"/>
    <xf numFmtId="0" fontId="2" fillId="25" borderId="3" xfId="0" applyFont="1" applyFill="1" applyBorder="1"/>
    <xf numFmtId="0" fontId="2" fillId="10" borderId="3" xfId="0" applyFont="1" applyFill="1" applyBorder="1"/>
    <xf numFmtId="0" fontId="0" fillId="26" borderId="3" xfId="0" applyFont="1" applyFill="1" applyBorder="1"/>
    <xf numFmtId="180" fontId="0" fillId="26" borderId="3" xfId="0" applyNumberFormat="1" applyFont="1" applyFill="1" applyBorder="1"/>
    <xf numFmtId="0" fontId="0" fillId="27" borderId="3" xfId="0" applyFill="1" applyBorder="1"/>
    <xf numFmtId="2" fontId="0" fillId="27" borderId="3" xfId="0" applyNumberFormat="1" applyFill="1" applyBorder="1"/>
    <xf numFmtId="182" fontId="0" fillId="28" borderId="3" xfId="0" applyNumberFormat="1" applyFill="1" applyBorder="1"/>
    <xf numFmtId="180" fontId="0" fillId="28" borderId="3" xfId="0" applyNumberFormat="1" applyFill="1" applyBorder="1"/>
    <xf numFmtId="0" fontId="0" fillId="29" borderId="3" xfId="0" applyFill="1" applyBorder="1"/>
    <xf numFmtId="180" fontId="0" fillId="29" borderId="3" xfId="0" applyNumberFormat="1" applyFill="1" applyBorder="1"/>
    <xf numFmtId="0" fontId="2" fillId="30" borderId="3" xfId="0" applyFont="1" applyFill="1" applyBorder="1"/>
    <xf numFmtId="0" fontId="2" fillId="31" borderId="3" xfId="0" applyFont="1" applyFill="1" applyBorder="1"/>
    <xf numFmtId="0" fontId="0" fillId="23" borderId="3" xfId="0" applyFill="1" applyBorder="1"/>
    <xf numFmtId="180" fontId="0" fillId="23" borderId="3" xfId="0" applyNumberFormat="1" applyFill="1" applyBorder="1"/>
    <xf numFmtId="0" fontId="2" fillId="0" borderId="0" xfId="0" applyFont="1" applyBorder="1"/>
    <xf numFmtId="0" fontId="0" fillId="0" borderId="0" xfId="0" applyBorder="1"/>
    <xf numFmtId="180" fontId="0" fillId="0" borderId="0" xfId="0" applyNumberFormat="1" applyBorder="1"/>
    <xf numFmtId="0" fontId="3" fillId="2" borderId="0" xfId="0" applyFont="1" applyFill="1" applyAlignment="1">
      <alignment horizontal="center"/>
    </xf>
    <xf numFmtId="183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mruColors>
      <color rgb="001C1A0E"/>
      <color rgb="008FB9FD"/>
      <color rgb="00FD8FDA"/>
      <color rgb="00FFFFFF"/>
      <color rgb="00FEFFFF"/>
      <color rgb="001CDCD3"/>
      <color rgb="0093E31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Sales by Category &amp; Sub-Category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Calc!$C$6</c:f>
              <c:strCache>
                <c:ptCount val="1"/>
                <c:pt idx="0">
                  <c:v>Total Sales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Calc!$B$7:$B$22</c:f>
              <c:strCache>
                <c:ptCount val="16"/>
                <c:pt idx="0">
                  <c:v>Fragrances</c:v>
                </c:pt>
                <c:pt idx="1">
                  <c:v>Hair Care</c:v>
                </c:pt>
                <c:pt idx="2">
                  <c:v>Makeup</c:v>
                </c:pt>
                <c:pt idx="3">
                  <c:v>Skincare</c:v>
                </c:pt>
                <c:pt idx="4">
                  <c:v>Cameras</c:v>
                </c:pt>
                <c:pt idx="5">
                  <c:v>Headphones</c:v>
                </c:pt>
                <c:pt idx="6">
                  <c:v>Laptops</c:v>
                </c:pt>
                <c:pt idx="7">
                  <c:v>Mobiles</c:v>
                </c:pt>
                <c:pt idx="8">
                  <c:v>Apparel</c:v>
                </c:pt>
                <c:pt idx="9">
                  <c:v>Bags</c:v>
                </c:pt>
                <c:pt idx="10">
                  <c:v>Shoes</c:v>
                </c:pt>
                <c:pt idx="11">
                  <c:v>Watches</c:v>
                </c:pt>
                <c:pt idx="12">
                  <c:v>Bedding</c:v>
                </c:pt>
                <c:pt idx="13">
                  <c:v>Decor</c:v>
                </c:pt>
                <c:pt idx="14">
                  <c:v>Furniture</c:v>
                </c:pt>
                <c:pt idx="15">
                  <c:v>Kitchen Appliances</c:v>
                </c:pt>
              </c:strCache>
            </c:strRef>
          </c:cat>
          <c:val>
            <c:numRef>
              <c:f>Calc!$C$7:$C$22</c:f>
              <c:numCache>
                <c:formatCode>"$"#,##0</c:formatCode>
                <c:ptCount val="16"/>
                <c:pt idx="0">
                  <c:v>3094564.87</c:v>
                </c:pt>
                <c:pt idx="1">
                  <c:v>3584288.01</c:v>
                </c:pt>
                <c:pt idx="2">
                  <c:v>3667492.97</c:v>
                </c:pt>
                <c:pt idx="3">
                  <c:v>3590798.75</c:v>
                </c:pt>
                <c:pt idx="4">
                  <c:v>3958378.64</c:v>
                </c:pt>
                <c:pt idx="5">
                  <c:v>3189784.66</c:v>
                </c:pt>
                <c:pt idx="6">
                  <c:v>2789532.63</c:v>
                </c:pt>
                <c:pt idx="7">
                  <c:v>3702815.84</c:v>
                </c:pt>
                <c:pt idx="8">
                  <c:v>2989981.9</c:v>
                </c:pt>
                <c:pt idx="9">
                  <c:v>4076618.02</c:v>
                </c:pt>
                <c:pt idx="10">
                  <c:v>3826204.84</c:v>
                </c:pt>
                <c:pt idx="11">
                  <c:v>3306858.13</c:v>
                </c:pt>
                <c:pt idx="12">
                  <c:v>3114458.7</c:v>
                </c:pt>
                <c:pt idx="13">
                  <c:v>3199439.1</c:v>
                </c:pt>
                <c:pt idx="14">
                  <c:v>3830032.77</c:v>
                </c:pt>
                <c:pt idx="15">
                  <c:v>3513212.17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Sub-Category</a:t>
                </a:r>
              </a:p>
            </c:rich>
          </c:tx>
          <c:layout/>
          <c:overlay val="0"/>
        </c:title>
        <c:numFmt formatCode="&quot;$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5979afd-4ca4-4496-9ed5-791be120ddd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279286963362816"/>
          <c:y val="0.1409026297086"/>
          <c:w val="0.937291878439483"/>
          <c:h val="0.594705046197583"/>
        </c:manualLayout>
      </c:layout>
      <c:lineChart>
        <c:grouping val="standard"/>
        <c:varyColors val="0"/>
        <c:ser>
          <c:idx val="0"/>
          <c:order val="0"/>
          <c:tx>
            <c:strRef>
              <c:f>Calc!$I$6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Calc!$H$7:$H$30</c:f>
              <c:numCache>
                <c:formatCode>mmm/yy</c:formatCode>
                <c:ptCount val="24"/>
                <c:pt idx="0" c:formatCode="mmm/yy">
                  <c:v>44927</c:v>
                </c:pt>
                <c:pt idx="1" c:formatCode="mmm/yy">
                  <c:v>44958</c:v>
                </c:pt>
                <c:pt idx="2" c:formatCode="mmm/yy">
                  <c:v>44986</c:v>
                </c:pt>
                <c:pt idx="3" c:formatCode="mmm/yy">
                  <c:v>45017</c:v>
                </c:pt>
                <c:pt idx="4" c:formatCode="mmm/yy">
                  <c:v>45047</c:v>
                </c:pt>
                <c:pt idx="5" c:formatCode="mmm/yy">
                  <c:v>45078</c:v>
                </c:pt>
                <c:pt idx="6" c:formatCode="mmm/yy">
                  <c:v>45108</c:v>
                </c:pt>
                <c:pt idx="7" c:formatCode="mmm/yy">
                  <c:v>45139</c:v>
                </c:pt>
                <c:pt idx="8" c:formatCode="mmm/yy">
                  <c:v>45170</c:v>
                </c:pt>
                <c:pt idx="9" c:formatCode="mmm/yy">
                  <c:v>45200</c:v>
                </c:pt>
                <c:pt idx="10" c:formatCode="mmm/yy">
                  <c:v>45231</c:v>
                </c:pt>
                <c:pt idx="11" c:formatCode="mmm/yy">
                  <c:v>45261</c:v>
                </c:pt>
                <c:pt idx="12" c:formatCode="mmm/yy">
                  <c:v>45292</c:v>
                </c:pt>
                <c:pt idx="13" c:formatCode="mmm/yy">
                  <c:v>45323</c:v>
                </c:pt>
                <c:pt idx="14" c:formatCode="mmm/yy">
                  <c:v>45352</c:v>
                </c:pt>
                <c:pt idx="15" c:formatCode="mmm/yy">
                  <c:v>45383</c:v>
                </c:pt>
                <c:pt idx="16" c:formatCode="mmm/yy">
                  <c:v>45413</c:v>
                </c:pt>
                <c:pt idx="17" c:formatCode="mmm/yy">
                  <c:v>45444</c:v>
                </c:pt>
                <c:pt idx="18" c:formatCode="mmm/yy">
                  <c:v>45474</c:v>
                </c:pt>
                <c:pt idx="19" c:formatCode="mmm/yy">
                  <c:v>45505</c:v>
                </c:pt>
                <c:pt idx="20" c:formatCode="mmm/yy">
                  <c:v>45536</c:v>
                </c:pt>
                <c:pt idx="21" c:formatCode="mmm/yy">
                  <c:v>45566</c:v>
                </c:pt>
                <c:pt idx="22" c:formatCode="mmm/yy">
                  <c:v>45597</c:v>
                </c:pt>
                <c:pt idx="23" c:formatCode="mmm/yy">
                  <c:v>45627</c:v>
                </c:pt>
              </c:numCache>
            </c:numRef>
          </c:cat>
          <c:val>
            <c:numRef>
              <c:f>Calc!$I$7:$I$30</c:f>
              <c:numCache>
                <c:formatCode>"$"#,##0</c:formatCode>
                <c:ptCount val="24"/>
                <c:pt idx="0">
                  <c:v>2435371.52</c:v>
                </c:pt>
                <c:pt idx="1">
                  <c:v>2235738.74</c:v>
                </c:pt>
                <c:pt idx="2">
                  <c:v>1915572.26</c:v>
                </c:pt>
                <c:pt idx="3">
                  <c:v>2438872.89</c:v>
                </c:pt>
                <c:pt idx="4">
                  <c:v>2143942.79</c:v>
                </c:pt>
                <c:pt idx="5">
                  <c:v>2302547.74</c:v>
                </c:pt>
                <c:pt idx="6">
                  <c:v>2296812.81</c:v>
                </c:pt>
                <c:pt idx="7">
                  <c:v>1980991.23</c:v>
                </c:pt>
                <c:pt idx="8">
                  <c:v>2553288.67</c:v>
                </c:pt>
                <c:pt idx="9">
                  <c:v>2592550.34</c:v>
                </c:pt>
                <c:pt idx="10">
                  <c:v>2512048.85</c:v>
                </c:pt>
                <c:pt idx="11">
                  <c:v>2647421.65</c:v>
                </c:pt>
                <c:pt idx="12">
                  <c:v>2858516.96</c:v>
                </c:pt>
                <c:pt idx="13">
                  <c:v>2660784.1</c:v>
                </c:pt>
                <c:pt idx="14">
                  <c:v>2359002.54</c:v>
                </c:pt>
                <c:pt idx="15">
                  <c:v>1940900.51</c:v>
                </c:pt>
                <c:pt idx="16">
                  <c:v>2430244.64</c:v>
                </c:pt>
                <c:pt idx="17">
                  <c:v>2189313.79</c:v>
                </c:pt>
                <c:pt idx="18">
                  <c:v>1715218.63</c:v>
                </c:pt>
                <c:pt idx="19">
                  <c:v>2020407.91</c:v>
                </c:pt>
                <c:pt idx="20">
                  <c:v>2686924.72</c:v>
                </c:pt>
                <c:pt idx="21">
                  <c:v>1939273.58</c:v>
                </c:pt>
                <c:pt idx="22">
                  <c:v>2591123.42</c:v>
                </c:pt>
                <c:pt idx="23">
                  <c:v>1987591.71</c:v>
                </c:pt>
              </c:numCache>
            </c:numRef>
          </c:val>
          <c:smooth val="0"/>
        </c:ser>
        <c:dLbls>
          <c:showLegendKey val="1"/>
          <c:showVal val="1"/>
          <c:showCatName val="1"/>
          <c:showSerName val="1"/>
          <c:showPercent val="1"/>
          <c:showBubbleSize val="1"/>
        </c:dLbls>
        <c:marker val="0"/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94caa9-9f2e-4ab0-afc8-2c67b55137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 10 Brands by Avg Rating</a:t>
            </a:r>
          </a:p>
        </c:rich>
      </c:tx>
      <c:layout>
        <c:manualLayout>
          <c:xMode val="edge"/>
          <c:yMode val="edge"/>
          <c:x val="0.103698460449478"/>
          <c:y val="0.0502780867630701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Avg Rating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ChartData!$A$2:$A$11</c:f>
              <c:strCache>
                <c:ptCount val="10"/>
                <c:pt idx="0">
                  <c:v>H&amp;M</c:v>
                </c:pt>
                <c:pt idx="1">
                  <c:v>Nilkamal</c:v>
                </c:pt>
                <c:pt idx="2">
                  <c:v>Rolex</c:v>
                </c:pt>
                <c:pt idx="3">
                  <c:v>Bose</c:v>
                </c:pt>
                <c:pt idx="4">
                  <c:v>The Body Shop</c:v>
                </c:pt>
                <c:pt idx="5">
                  <c:v>Titan</c:v>
                </c:pt>
                <c:pt idx="6">
                  <c:v>Zara</c:v>
                </c:pt>
                <c:pt idx="7">
                  <c:v>Bajaj</c:v>
                </c:pt>
                <c:pt idx="8">
                  <c:v>MAC</c:v>
                </c:pt>
                <c:pt idx="9">
                  <c:v>Casio</c:v>
                </c:pt>
              </c:strCache>
            </c:strRef>
          </c:cat>
          <c:val>
            <c:numRef>
              <c:f>ChartData!$B$2:$B$11</c:f>
              <c:numCache>
                <c:formatCode>General</c:formatCode>
                <c:ptCount val="10"/>
                <c:pt idx="0">
                  <c:v>3.4</c:v>
                </c:pt>
                <c:pt idx="1">
                  <c:v>3.4</c:v>
                </c:pt>
                <c:pt idx="2">
                  <c:v>3.34615384615385</c:v>
                </c:pt>
                <c:pt idx="3">
                  <c:v>3.3375</c:v>
                </c:pt>
                <c:pt idx="4">
                  <c:v>3.25172413793103</c:v>
                </c:pt>
                <c:pt idx="5">
                  <c:v>3.23428571428571</c:v>
                </c:pt>
                <c:pt idx="6">
                  <c:v>3.21290322580645</c:v>
                </c:pt>
                <c:pt idx="7">
                  <c:v>3.21034482758621</c:v>
                </c:pt>
                <c:pt idx="8">
                  <c:v>3.2</c:v>
                </c:pt>
                <c:pt idx="9">
                  <c:v>3.18148148148148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Avg Rating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Brand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b0ea89-4996-4f4a-ae90-9b1ffb29bfb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Sales by Payment Mode</a:t>
            </a:r>
          </a:p>
        </c:rich>
      </c:tx>
      <c:layout>
        <c:manualLayout>
          <c:xMode val="edge"/>
          <c:yMode val="edge"/>
          <c:x val="0.400218818380744"/>
          <c:y val="0.00667408231368187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[1]Calc!$F$66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[1]Calc!$E$67:$E$71</c:f>
              <c:strCache>
                <c:ptCount val="5"/>
                <c:pt idx="0">
                  <c:v>Credit Card</c:v>
                </c:pt>
                <c:pt idx="1">
                  <c:v>Cash on Delivery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[1]Calc!$F$67:$F$71</c:f>
              <c:numCache>
                <c:formatCode>"$"#,##0</c:formatCode>
                <c:ptCount val="5"/>
                <c:pt idx="0">
                  <c:v>11952568.01</c:v>
                </c:pt>
                <c:pt idx="1">
                  <c:v>11349279.32</c:v>
                </c:pt>
                <c:pt idx="2">
                  <c:v>10768712.38</c:v>
                </c:pt>
                <c:pt idx="3">
                  <c:v>10694390.42</c:v>
                </c:pt>
                <c:pt idx="4">
                  <c:v>10669511.87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d22420-ef9f-45f0-a10d-7bebe6831c7c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11</xdr:row>
      <xdr:rowOff>0</xdr:rowOff>
    </xdr:from>
    <xdr:ext cx="4680000" cy="2880000"/>
    <xdr:graphicFrame>
      <xdr:nvGraphicFramePr>
        <xdr:cNvPr id="2" name="Chart 1"/>
        <xdr:cNvGraphicFramePr/>
      </xdr:nvGraphicFramePr>
      <xdr:xfrm>
        <a:off x="0" y="3073400"/>
        <a:ext cx="467995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832485</xdr:colOff>
      <xdr:row>10</xdr:row>
      <xdr:rowOff>250825</xdr:rowOff>
    </xdr:from>
    <xdr:ext cx="6957695" cy="3604260"/>
    <xdr:graphicFrame>
      <xdr:nvGraphicFramePr>
        <xdr:cNvPr id="3" name="Chart 2"/>
        <xdr:cNvGraphicFramePr/>
      </xdr:nvGraphicFramePr>
      <xdr:xfrm>
        <a:off x="5221605" y="3044825"/>
        <a:ext cx="6957695" cy="3604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957580</xdr:colOff>
      <xdr:row>23</xdr:row>
      <xdr:rowOff>71120</xdr:rowOff>
    </xdr:from>
    <xdr:ext cx="3600000" cy="2880000"/>
    <xdr:graphicFrame>
      <xdr:nvGraphicFramePr>
        <xdr:cNvPr id="5" name="Chart 4"/>
        <xdr:cNvGraphicFramePr/>
      </xdr:nvGraphicFramePr>
      <xdr:xfrm>
        <a:off x="957580" y="6497320"/>
        <a:ext cx="359981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98425</xdr:colOff>
      <xdr:row>25</xdr:row>
      <xdr:rowOff>13335</xdr:rowOff>
    </xdr:from>
    <xdr:ext cx="5935345" cy="3061970"/>
    <xdr:graphicFrame>
      <xdr:nvGraphicFramePr>
        <xdr:cNvPr id="6" name="Chart 5"/>
        <xdr:cNvGraphicFramePr/>
      </xdr:nvGraphicFramePr>
      <xdr:xfrm>
        <a:off x="5584825" y="6998335"/>
        <a:ext cx="5935345" cy="3061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_dashboard_ready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Lists"/>
      <sheetName val="Calc"/>
      <sheetName val="Dashboard"/>
      <sheetName val="ChartData"/>
    </sheetNames>
    <sheetDataSet>
      <sheetData sheetId="0"/>
      <sheetData sheetId="1"/>
      <sheetData sheetId="2">
        <row r="66">
          <cell r="F66" t="str">
            <v>Total Sales</v>
          </cell>
        </row>
        <row r="67">
          <cell r="E67" t="str">
            <v>Credit Card</v>
          </cell>
          <cell r="F67">
            <v>11952568.01</v>
          </cell>
        </row>
        <row r="68">
          <cell r="E68" t="str">
            <v>Cash on Delivery</v>
          </cell>
          <cell r="F68">
            <v>11349279.32</v>
          </cell>
        </row>
        <row r="69">
          <cell r="E69" t="str">
            <v>Debit Card</v>
          </cell>
          <cell r="F69">
            <v>10768712.38</v>
          </cell>
        </row>
        <row r="70">
          <cell r="E70" t="str">
            <v>Net Banking</v>
          </cell>
          <cell r="F70">
            <v>10694390.42</v>
          </cell>
        </row>
        <row r="71">
          <cell r="E71" t="str">
            <v>UPI</v>
          </cell>
          <cell r="F71">
            <v>10669511.87</v>
          </cell>
        </row>
      </sheetData>
      <sheetData sheetId="3"/>
      <sheetData sheetId="4"/>
    </sheetDataSet>
  </externalBook>
</externalLink>
</file>

<file path=xl/tables/table1.xml><?xml version="1.0" encoding="utf-8"?>
<table xmlns="http://schemas.openxmlformats.org/spreadsheetml/2006/main" id="1" name="SalesData" displayName="SalesData" ref="A1:P2001">
  <autoFilter xmlns:etc="http://www.wps.cn/officeDocument/2017/etCustomData" ref="A1:P2001" etc:filterBottomFollowUsedRange="0"/>
  <tableColumns count="16">
    <tableColumn id="1" name="Order_ID"/>
    <tableColumn id="2" name="Customer_ID"/>
    <tableColumn id="3" name="Product_ID"/>
    <tableColumn id="4" name="Category"/>
    <tableColumn id="5" name="Sub_Category"/>
    <tableColumn id="6" name="Brand"/>
    <tableColumn id="7" name="Quantity"/>
    <tableColumn id="8" name="Unit_Price"/>
    <tableColumn id="9" name="Discount"/>
    <tableColumn id="10" name="Sales"/>
    <tableColumn id="11" name="Profit"/>
    <tableColumn id="12" name="Rating"/>
    <tableColumn id="13" name="Order_Date"/>
    <tableColumn id="14" name="Region"/>
    <tableColumn id="15" name="Payment_Mode"/>
    <tableColumn id="16" name="Profit_Margin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01"/>
  <sheetViews>
    <sheetView zoomScale="55" zoomScaleNormal="55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" customWidth="1"/>
    <col min="2" max="2" width="13" customWidth="1"/>
    <col min="3" max="3" width="12" customWidth="1"/>
    <col min="4" max="4" width="16" customWidth="1"/>
    <col min="5" max="5" width="20" customWidth="1"/>
    <col min="6" max="6" width="12" customWidth="1"/>
    <col min="7" max="7" width="10" customWidth="1"/>
    <col min="8" max="8" width="12" customWidth="1"/>
    <col min="9" max="11" width="10" customWidth="1"/>
    <col min="12" max="12" width="8" customWidth="1"/>
    <col min="13" max="13" width="12" customWidth="1"/>
    <col min="14" max="14" width="8" customWidth="1"/>
    <col min="15" max="15" width="18" customWidth="1"/>
    <col min="16" max="16" width="19" customWidth="1"/>
  </cols>
  <sheetData>
    <row r="1" spans="1:16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</v>
      </c>
      <c r="H2">
        <v>1076.32</v>
      </c>
      <c r="I2">
        <v>0.2</v>
      </c>
      <c r="J2">
        <v>861.06</v>
      </c>
      <c r="K2">
        <v>128.36</v>
      </c>
      <c r="L2">
        <v>1.9</v>
      </c>
      <c r="M2" s="53">
        <v>45502</v>
      </c>
      <c r="N2" t="s">
        <v>22</v>
      </c>
      <c r="O2" t="s">
        <v>23</v>
      </c>
      <c r="P2" s="54">
        <v>0.149072073955357</v>
      </c>
    </row>
    <row r="3" spans="1:16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5</v>
      </c>
      <c r="H3">
        <v>6269.73</v>
      </c>
      <c r="I3">
        <v>0.15</v>
      </c>
      <c r="J3">
        <v>26646.35</v>
      </c>
      <c r="K3">
        <v>1463.18</v>
      </c>
      <c r="L3">
        <v>1.9</v>
      </c>
      <c r="M3" s="53">
        <v>45317</v>
      </c>
      <c r="N3" t="s">
        <v>30</v>
      </c>
      <c r="O3" t="s">
        <v>31</v>
      </c>
      <c r="P3" s="54">
        <v>0.0549110853831763</v>
      </c>
    </row>
    <row r="4" spans="1:16">
      <c r="A4" t="s">
        <v>32</v>
      </c>
      <c r="B4" t="s">
        <v>33</v>
      </c>
      <c r="C4" t="s">
        <v>34</v>
      </c>
      <c r="D4" t="s">
        <v>19</v>
      </c>
      <c r="E4" t="s">
        <v>35</v>
      </c>
      <c r="F4" t="s">
        <v>36</v>
      </c>
      <c r="G4">
        <v>1</v>
      </c>
      <c r="H4">
        <v>18121.88</v>
      </c>
      <c r="I4">
        <v>0</v>
      </c>
      <c r="J4">
        <v>18121.88</v>
      </c>
      <c r="K4">
        <v>2136</v>
      </c>
      <c r="L4">
        <v>1.6</v>
      </c>
      <c r="M4" s="53">
        <v>45135</v>
      </c>
      <c r="N4" t="s">
        <v>30</v>
      </c>
      <c r="O4" t="s">
        <v>23</v>
      </c>
      <c r="P4" s="54">
        <v>0.11786856551307</v>
      </c>
    </row>
    <row r="5" spans="1:16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>
        <v>3</v>
      </c>
      <c r="H5">
        <v>6884.74</v>
      </c>
      <c r="I5">
        <v>0.2</v>
      </c>
      <c r="J5">
        <v>16523.38</v>
      </c>
      <c r="K5">
        <v>3406.58</v>
      </c>
      <c r="L5">
        <v>3.6</v>
      </c>
      <c r="M5" s="53">
        <v>45379</v>
      </c>
      <c r="N5" t="s">
        <v>43</v>
      </c>
      <c r="O5" t="s">
        <v>44</v>
      </c>
      <c r="P5" s="54">
        <v>0.206167261177798</v>
      </c>
    </row>
    <row r="6" spans="1:16">
      <c r="A6" t="s">
        <v>45</v>
      </c>
      <c r="B6" t="s">
        <v>46</v>
      </c>
      <c r="C6" t="s">
        <v>47</v>
      </c>
      <c r="D6" t="s">
        <v>27</v>
      </c>
      <c r="E6" t="s">
        <v>48</v>
      </c>
      <c r="F6" t="s">
        <v>49</v>
      </c>
      <c r="G6">
        <v>5</v>
      </c>
      <c r="H6">
        <v>4008.84</v>
      </c>
      <c r="I6">
        <v>0.1</v>
      </c>
      <c r="J6">
        <v>18039.78</v>
      </c>
      <c r="K6">
        <v>3729.67</v>
      </c>
      <c r="L6">
        <v>4.3</v>
      </c>
      <c r="M6" s="53">
        <v>45532</v>
      </c>
      <c r="N6" t="s">
        <v>30</v>
      </c>
      <c r="O6" t="s">
        <v>23</v>
      </c>
      <c r="P6" s="54">
        <v>0.20674697806736</v>
      </c>
    </row>
    <row r="7" spans="1:16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4</v>
      </c>
      <c r="H7">
        <v>18812.78</v>
      </c>
      <c r="I7">
        <v>0</v>
      </c>
      <c r="J7">
        <v>75251.12</v>
      </c>
      <c r="K7">
        <v>14285.79</v>
      </c>
      <c r="L7">
        <v>1.9</v>
      </c>
      <c r="M7" s="53">
        <v>45386</v>
      </c>
      <c r="N7" t="s">
        <v>56</v>
      </c>
      <c r="O7" t="s">
        <v>57</v>
      </c>
      <c r="P7" s="54">
        <v>0.189841559833262</v>
      </c>
    </row>
    <row r="8" spans="1:16">
      <c r="A8" t="s">
        <v>58</v>
      </c>
      <c r="B8" t="s">
        <v>59</v>
      </c>
      <c r="C8" t="s">
        <v>60</v>
      </c>
      <c r="D8" t="s">
        <v>27</v>
      </c>
      <c r="E8" t="s">
        <v>28</v>
      </c>
      <c r="F8" t="s">
        <v>29</v>
      </c>
      <c r="G8">
        <v>3</v>
      </c>
      <c r="H8">
        <v>199.23</v>
      </c>
      <c r="I8">
        <v>0.1</v>
      </c>
      <c r="J8">
        <v>537.92</v>
      </c>
      <c r="K8">
        <v>92.18</v>
      </c>
      <c r="L8">
        <v>1.4</v>
      </c>
      <c r="M8" s="53">
        <v>44938</v>
      </c>
      <c r="N8" t="s">
        <v>56</v>
      </c>
      <c r="O8" t="s">
        <v>31</v>
      </c>
      <c r="P8" s="54">
        <v>0.171363771564545</v>
      </c>
    </row>
    <row r="9" spans="1:16">
      <c r="A9" t="s">
        <v>61</v>
      </c>
      <c r="B9" t="s">
        <v>62</v>
      </c>
      <c r="C9" t="s">
        <v>63</v>
      </c>
      <c r="D9" t="s">
        <v>27</v>
      </c>
      <c r="E9" t="s">
        <v>48</v>
      </c>
      <c r="F9" t="s">
        <v>64</v>
      </c>
      <c r="G9">
        <v>1</v>
      </c>
      <c r="H9">
        <v>16114.74</v>
      </c>
      <c r="I9">
        <v>0.15</v>
      </c>
      <c r="J9">
        <v>13697.53</v>
      </c>
      <c r="K9">
        <v>2363.08</v>
      </c>
      <c r="L9">
        <v>2.3</v>
      </c>
      <c r="M9" s="53">
        <v>45148</v>
      </c>
      <c r="N9" t="s">
        <v>30</v>
      </c>
      <c r="O9" t="s">
        <v>23</v>
      </c>
      <c r="P9" s="54">
        <v>0.172518694976393</v>
      </c>
    </row>
    <row r="10" spans="1:16">
      <c r="A10" t="s">
        <v>65</v>
      </c>
      <c r="B10" t="s">
        <v>66</v>
      </c>
      <c r="C10" t="s">
        <v>67</v>
      </c>
      <c r="D10" t="s">
        <v>53</v>
      </c>
      <c r="E10" t="s">
        <v>54</v>
      </c>
      <c r="F10" t="s">
        <v>55</v>
      </c>
      <c r="G10">
        <v>5</v>
      </c>
      <c r="H10">
        <v>17717.7</v>
      </c>
      <c r="I10">
        <v>0.15</v>
      </c>
      <c r="J10">
        <v>75300.22</v>
      </c>
      <c r="K10">
        <v>7148.1</v>
      </c>
      <c r="L10">
        <v>1.6</v>
      </c>
      <c r="M10" s="53">
        <v>45522</v>
      </c>
      <c r="N10" t="s">
        <v>56</v>
      </c>
      <c r="O10" t="s">
        <v>23</v>
      </c>
      <c r="P10" s="54">
        <v>0.0949280095064795</v>
      </c>
    </row>
    <row r="11" spans="1:16">
      <c r="A11" t="s">
        <v>68</v>
      </c>
      <c r="B11" t="s">
        <v>69</v>
      </c>
      <c r="C11" t="s">
        <v>70</v>
      </c>
      <c r="D11" t="s">
        <v>53</v>
      </c>
      <c r="E11" t="s">
        <v>71</v>
      </c>
      <c r="F11" t="s">
        <v>72</v>
      </c>
      <c r="G11">
        <v>5</v>
      </c>
      <c r="H11">
        <v>13935.58</v>
      </c>
      <c r="I11">
        <v>0.2</v>
      </c>
      <c r="J11">
        <v>55742.32</v>
      </c>
      <c r="K11">
        <v>13213.16</v>
      </c>
      <c r="L11">
        <v>3.2</v>
      </c>
      <c r="M11" s="53">
        <v>45500</v>
      </c>
      <c r="N11" t="s">
        <v>43</v>
      </c>
      <c r="O11" t="s">
        <v>73</v>
      </c>
      <c r="P11" s="54">
        <v>0.237040008381424</v>
      </c>
    </row>
    <row r="12" spans="1:16">
      <c r="A12" t="s">
        <v>74</v>
      </c>
      <c r="B12" t="s">
        <v>75</v>
      </c>
      <c r="C12" t="s">
        <v>76</v>
      </c>
      <c r="D12" t="s">
        <v>27</v>
      </c>
      <c r="E12" t="s">
        <v>48</v>
      </c>
      <c r="F12" t="s">
        <v>77</v>
      </c>
      <c r="G12">
        <v>5</v>
      </c>
      <c r="H12">
        <v>14369.47</v>
      </c>
      <c r="I12">
        <v>0.15</v>
      </c>
      <c r="J12">
        <v>61070.25</v>
      </c>
      <c r="K12">
        <v>11409.75</v>
      </c>
      <c r="L12">
        <v>4.3</v>
      </c>
      <c r="M12" s="53">
        <v>45385</v>
      </c>
      <c r="N12" t="s">
        <v>56</v>
      </c>
      <c r="O12" t="s">
        <v>31</v>
      </c>
      <c r="P12" s="54">
        <v>0.186829921279183</v>
      </c>
    </row>
    <row r="13" spans="1:16">
      <c r="A13" t="s">
        <v>78</v>
      </c>
      <c r="B13" t="s">
        <v>79</v>
      </c>
      <c r="C13" t="s">
        <v>80</v>
      </c>
      <c r="D13" t="s">
        <v>40</v>
      </c>
      <c r="E13" t="s">
        <v>81</v>
      </c>
      <c r="F13" t="s">
        <v>82</v>
      </c>
      <c r="G13">
        <v>3</v>
      </c>
      <c r="H13">
        <v>17189.97</v>
      </c>
      <c r="I13">
        <v>0.15</v>
      </c>
      <c r="J13">
        <v>43834.42</v>
      </c>
      <c r="K13">
        <v>3530.38</v>
      </c>
      <c r="L13">
        <v>1.4</v>
      </c>
      <c r="M13" s="53">
        <v>45553</v>
      </c>
      <c r="N13" t="s">
        <v>22</v>
      </c>
      <c r="O13" t="s">
        <v>44</v>
      </c>
      <c r="P13" s="54">
        <v>0.0805389919611119</v>
      </c>
    </row>
    <row r="14" spans="1:16">
      <c r="A14" t="s">
        <v>83</v>
      </c>
      <c r="B14" t="s">
        <v>84</v>
      </c>
      <c r="C14" t="s">
        <v>85</v>
      </c>
      <c r="D14" t="s">
        <v>19</v>
      </c>
      <c r="E14" t="s">
        <v>86</v>
      </c>
      <c r="F14" t="s">
        <v>87</v>
      </c>
      <c r="G14">
        <v>1</v>
      </c>
      <c r="H14">
        <v>11122.51</v>
      </c>
      <c r="I14">
        <v>0.1</v>
      </c>
      <c r="J14">
        <v>10010.26</v>
      </c>
      <c r="K14">
        <v>2413.72</v>
      </c>
      <c r="L14">
        <v>1.4</v>
      </c>
      <c r="M14" s="53">
        <v>45353</v>
      </c>
      <c r="N14" t="s">
        <v>43</v>
      </c>
      <c r="O14" t="s">
        <v>31</v>
      </c>
      <c r="P14" s="54">
        <v>0.241124606154086</v>
      </c>
    </row>
    <row r="15" spans="1:16">
      <c r="A15" t="s">
        <v>88</v>
      </c>
      <c r="B15" t="s">
        <v>89</v>
      </c>
      <c r="C15" t="s">
        <v>90</v>
      </c>
      <c r="D15" t="s">
        <v>40</v>
      </c>
      <c r="E15" t="s">
        <v>41</v>
      </c>
      <c r="F15" t="s">
        <v>91</v>
      </c>
      <c r="G15">
        <v>4</v>
      </c>
      <c r="H15">
        <v>11763.57</v>
      </c>
      <c r="I15">
        <v>0.05</v>
      </c>
      <c r="J15">
        <v>44701.57</v>
      </c>
      <c r="K15">
        <v>5959.18</v>
      </c>
      <c r="L15">
        <v>2.1</v>
      </c>
      <c r="M15" s="53">
        <v>44983</v>
      </c>
      <c r="N15" t="s">
        <v>30</v>
      </c>
      <c r="O15" t="s">
        <v>57</v>
      </c>
      <c r="P15" s="54">
        <v>0.133310306550754</v>
      </c>
    </row>
    <row r="16" spans="1:16">
      <c r="A16" t="s">
        <v>92</v>
      </c>
      <c r="B16" t="s">
        <v>93</v>
      </c>
      <c r="C16" t="s">
        <v>94</v>
      </c>
      <c r="D16" t="s">
        <v>53</v>
      </c>
      <c r="E16" t="s">
        <v>95</v>
      </c>
      <c r="F16" t="s">
        <v>96</v>
      </c>
      <c r="G16">
        <v>5</v>
      </c>
      <c r="H16">
        <v>6511.3</v>
      </c>
      <c r="I16">
        <v>0.1</v>
      </c>
      <c r="J16">
        <v>29300.85</v>
      </c>
      <c r="K16">
        <v>4174.29</v>
      </c>
      <c r="L16">
        <v>1.8</v>
      </c>
      <c r="M16" s="53">
        <v>45153</v>
      </c>
      <c r="N16" t="s">
        <v>30</v>
      </c>
      <c r="O16" t="s">
        <v>31</v>
      </c>
      <c r="P16" s="54">
        <v>0.142463102606238</v>
      </c>
    </row>
    <row r="17" spans="1:16">
      <c r="A17" t="s">
        <v>97</v>
      </c>
      <c r="B17" t="s">
        <v>98</v>
      </c>
      <c r="C17" t="s">
        <v>99</v>
      </c>
      <c r="D17" t="s">
        <v>53</v>
      </c>
      <c r="E17" t="s">
        <v>100</v>
      </c>
      <c r="F17" t="s">
        <v>101</v>
      </c>
      <c r="G17">
        <v>4</v>
      </c>
      <c r="H17">
        <v>19981.8</v>
      </c>
      <c r="I17">
        <v>0.2</v>
      </c>
      <c r="J17">
        <v>63941.76</v>
      </c>
      <c r="K17">
        <v>12199.27</v>
      </c>
      <c r="L17">
        <v>2.4</v>
      </c>
      <c r="M17" s="53">
        <v>45158</v>
      </c>
      <c r="N17" t="s">
        <v>22</v>
      </c>
      <c r="O17" t="s">
        <v>73</v>
      </c>
      <c r="P17" s="54">
        <v>0.190787210111201</v>
      </c>
    </row>
    <row r="18" spans="1:16">
      <c r="A18" t="s">
        <v>102</v>
      </c>
      <c r="B18" t="s">
        <v>103</v>
      </c>
      <c r="C18" t="s">
        <v>104</v>
      </c>
      <c r="D18" t="s">
        <v>27</v>
      </c>
      <c r="E18" t="s">
        <v>28</v>
      </c>
      <c r="F18" t="s">
        <v>105</v>
      </c>
      <c r="G18">
        <v>1</v>
      </c>
      <c r="H18">
        <v>7191.3</v>
      </c>
      <c r="I18">
        <v>0.05</v>
      </c>
      <c r="J18">
        <v>6831.73</v>
      </c>
      <c r="K18">
        <v>1331.73</v>
      </c>
      <c r="L18">
        <v>3.5</v>
      </c>
      <c r="M18" s="53">
        <v>45023</v>
      </c>
      <c r="N18" t="s">
        <v>22</v>
      </c>
      <c r="O18" t="s">
        <v>57</v>
      </c>
      <c r="P18" s="54">
        <v>0.19493305502413</v>
      </c>
    </row>
    <row r="19" spans="1:16">
      <c r="A19" t="s">
        <v>106</v>
      </c>
      <c r="B19" t="s">
        <v>107</v>
      </c>
      <c r="C19" t="s">
        <v>108</v>
      </c>
      <c r="D19" t="s">
        <v>53</v>
      </c>
      <c r="E19" t="s">
        <v>54</v>
      </c>
      <c r="F19" t="s">
        <v>109</v>
      </c>
      <c r="G19">
        <v>1</v>
      </c>
      <c r="H19">
        <v>3358.73</v>
      </c>
      <c r="I19">
        <v>0.05</v>
      </c>
      <c r="J19">
        <v>3190.79</v>
      </c>
      <c r="K19">
        <v>182.71</v>
      </c>
      <c r="L19">
        <v>3.6</v>
      </c>
      <c r="M19" s="53">
        <v>45354</v>
      </c>
      <c r="N19" t="s">
        <v>43</v>
      </c>
      <c r="O19" t="s">
        <v>57</v>
      </c>
      <c r="P19" s="54">
        <v>0.0572616812764237</v>
      </c>
    </row>
    <row r="20" spans="1:16">
      <c r="A20" t="s">
        <v>110</v>
      </c>
      <c r="B20" t="s">
        <v>111</v>
      </c>
      <c r="C20" t="s">
        <v>112</v>
      </c>
      <c r="D20" t="s">
        <v>19</v>
      </c>
      <c r="E20" t="s">
        <v>86</v>
      </c>
      <c r="F20" t="s">
        <v>113</v>
      </c>
      <c r="G20">
        <v>5</v>
      </c>
      <c r="H20">
        <v>1441.67</v>
      </c>
      <c r="I20">
        <v>0.05</v>
      </c>
      <c r="J20">
        <v>6847.93</v>
      </c>
      <c r="K20">
        <v>1355.24</v>
      </c>
      <c r="L20">
        <v>2.9</v>
      </c>
      <c r="M20" s="53">
        <v>45134</v>
      </c>
      <c r="N20" t="s">
        <v>43</v>
      </c>
      <c r="O20" t="s">
        <v>73</v>
      </c>
      <c r="P20" s="54">
        <v>0.197905060361306</v>
      </c>
    </row>
    <row r="21" spans="1:16">
      <c r="A21" t="s">
        <v>114</v>
      </c>
      <c r="B21" t="s">
        <v>115</v>
      </c>
      <c r="C21" t="s">
        <v>116</v>
      </c>
      <c r="D21" t="s">
        <v>27</v>
      </c>
      <c r="E21" t="s">
        <v>117</v>
      </c>
      <c r="F21" t="s">
        <v>118</v>
      </c>
      <c r="G21">
        <v>5</v>
      </c>
      <c r="H21">
        <v>8028.12</v>
      </c>
      <c r="I21">
        <v>0</v>
      </c>
      <c r="J21">
        <v>40140.6</v>
      </c>
      <c r="K21">
        <v>3789.28</v>
      </c>
      <c r="L21">
        <v>3.4</v>
      </c>
      <c r="M21" s="53">
        <v>45523</v>
      </c>
      <c r="N21" t="s">
        <v>22</v>
      </c>
      <c r="O21" t="s">
        <v>44</v>
      </c>
      <c r="P21" s="54">
        <v>0.0944001833555054</v>
      </c>
    </row>
    <row r="22" spans="1:16">
      <c r="A22" t="s">
        <v>119</v>
      </c>
      <c r="B22" t="s">
        <v>107</v>
      </c>
      <c r="C22" t="s">
        <v>120</v>
      </c>
      <c r="D22" t="s">
        <v>19</v>
      </c>
      <c r="E22" t="s">
        <v>35</v>
      </c>
      <c r="F22" t="s">
        <v>121</v>
      </c>
      <c r="G22">
        <v>1</v>
      </c>
      <c r="H22">
        <v>7913.84</v>
      </c>
      <c r="I22">
        <v>0.05</v>
      </c>
      <c r="J22">
        <v>7518.15</v>
      </c>
      <c r="K22">
        <v>576.37</v>
      </c>
      <c r="L22">
        <v>4.2</v>
      </c>
      <c r="M22" s="53">
        <v>45023</v>
      </c>
      <c r="N22" t="s">
        <v>56</v>
      </c>
      <c r="O22" t="s">
        <v>31</v>
      </c>
      <c r="P22" s="54">
        <v>0.0766638069205855</v>
      </c>
    </row>
    <row r="23" spans="1:16">
      <c r="A23" t="s">
        <v>122</v>
      </c>
      <c r="B23" t="s">
        <v>123</v>
      </c>
      <c r="C23" t="s">
        <v>124</v>
      </c>
      <c r="D23" t="s">
        <v>40</v>
      </c>
      <c r="E23" t="s">
        <v>41</v>
      </c>
      <c r="F23" t="s">
        <v>125</v>
      </c>
      <c r="G23">
        <v>4</v>
      </c>
      <c r="H23">
        <v>6262.83</v>
      </c>
      <c r="I23">
        <v>0</v>
      </c>
      <c r="J23">
        <v>25051.32</v>
      </c>
      <c r="K23">
        <v>4422.45</v>
      </c>
      <c r="L23">
        <v>1.1</v>
      </c>
      <c r="M23" s="53">
        <v>45348</v>
      </c>
      <c r="N23" t="s">
        <v>43</v>
      </c>
      <c r="O23" t="s">
        <v>57</v>
      </c>
      <c r="P23" s="54">
        <v>0.176535607704504</v>
      </c>
    </row>
    <row r="24" spans="1:16">
      <c r="A24" t="s">
        <v>126</v>
      </c>
      <c r="B24" t="s">
        <v>127</v>
      </c>
      <c r="C24" t="s">
        <v>128</v>
      </c>
      <c r="D24" t="s">
        <v>19</v>
      </c>
      <c r="E24" t="s">
        <v>129</v>
      </c>
      <c r="F24" t="s">
        <v>130</v>
      </c>
      <c r="G24">
        <v>1</v>
      </c>
      <c r="H24">
        <v>9595.09</v>
      </c>
      <c r="I24">
        <v>0</v>
      </c>
      <c r="J24">
        <v>9595.09</v>
      </c>
      <c r="K24">
        <v>2052.34</v>
      </c>
      <c r="L24">
        <v>1.3</v>
      </c>
      <c r="M24" s="53">
        <v>45273</v>
      </c>
      <c r="N24" t="s">
        <v>22</v>
      </c>
      <c r="O24" t="s">
        <v>23</v>
      </c>
      <c r="P24" s="54">
        <v>0.213894814952231</v>
      </c>
    </row>
    <row r="25" spans="1:16">
      <c r="A25" t="s">
        <v>131</v>
      </c>
      <c r="B25" t="s">
        <v>132</v>
      </c>
      <c r="C25" t="s">
        <v>133</v>
      </c>
      <c r="D25" t="s">
        <v>19</v>
      </c>
      <c r="E25" t="s">
        <v>20</v>
      </c>
      <c r="F25" t="s">
        <v>134</v>
      </c>
      <c r="G25">
        <v>4</v>
      </c>
      <c r="H25">
        <v>15347.74</v>
      </c>
      <c r="I25">
        <v>0.2</v>
      </c>
      <c r="J25">
        <v>49112.77</v>
      </c>
      <c r="K25">
        <v>9557.33</v>
      </c>
      <c r="L25">
        <v>5</v>
      </c>
      <c r="M25" s="53">
        <v>45442</v>
      </c>
      <c r="N25" t="s">
        <v>56</v>
      </c>
      <c r="O25" t="s">
        <v>44</v>
      </c>
      <c r="P25" s="54">
        <v>0.194599693725278</v>
      </c>
    </row>
    <row r="26" spans="1:16">
      <c r="A26" t="s">
        <v>135</v>
      </c>
      <c r="B26" t="s">
        <v>136</v>
      </c>
      <c r="C26" t="s">
        <v>137</v>
      </c>
      <c r="D26" t="s">
        <v>19</v>
      </c>
      <c r="E26" t="s">
        <v>86</v>
      </c>
      <c r="F26" t="s">
        <v>87</v>
      </c>
      <c r="G26">
        <v>4</v>
      </c>
      <c r="H26">
        <v>14946.4</v>
      </c>
      <c r="I26">
        <v>0</v>
      </c>
      <c r="J26">
        <v>59785.6</v>
      </c>
      <c r="K26">
        <v>8672.35</v>
      </c>
      <c r="L26">
        <v>3.3</v>
      </c>
      <c r="M26" s="53">
        <v>44938</v>
      </c>
      <c r="N26" t="s">
        <v>56</v>
      </c>
      <c r="O26" t="s">
        <v>31</v>
      </c>
      <c r="P26" s="54">
        <v>0.145057505486271</v>
      </c>
    </row>
    <row r="27" spans="1:16">
      <c r="A27" t="s">
        <v>138</v>
      </c>
      <c r="B27" t="s">
        <v>139</v>
      </c>
      <c r="C27" t="s">
        <v>140</v>
      </c>
      <c r="D27" t="s">
        <v>27</v>
      </c>
      <c r="E27" t="s">
        <v>48</v>
      </c>
      <c r="F27" t="s">
        <v>49</v>
      </c>
      <c r="G27">
        <v>4</v>
      </c>
      <c r="H27">
        <v>10862.38</v>
      </c>
      <c r="I27">
        <v>0.2</v>
      </c>
      <c r="J27">
        <v>34759.62</v>
      </c>
      <c r="K27">
        <v>7931.84</v>
      </c>
      <c r="L27">
        <v>3.4</v>
      </c>
      <c r="M27" s="53">
        <v>45581</v>
      </c>
      <c r="N27" t="s">
        <v>22</v>
      </c>
      <c r="O27" t="s">
        <v>31</v>
      </c>
      <c r="P27" s="54">
        <v>0.228191217280281</v>
      </c>
    </row>
    <row r="28" spans="1:16">
      <c r="A28" t="s">
        <v>141</v>
      </c>
      <c r="B28" t="s">
        <v>142</v>
      </c>
      <c r="C28" t="s">
        <v>143</v>
      </c>
      <c r="D28" t="s">
        <v>40</v>
      </c>
      <c r="E28" t="s">
        <v>41</v>
      </c>
      <c r="F28" t="s">
        <v>125</v>
      </c>
      <c r="G28">
        <v>1</v>
      </c>
      <c r="H28">
        <v>18417.58</v>
      </c>
      <c r="I28">
        <v>0.1</v>
      </c>
      <c r="J28">
        <v>16575.82</v>
      </c>
      <c r="K28">
        <v>1658.9</v>
      </c>
      <c r="L28">
        <v>3.5</v>
      </c>
      <c r="M28" s="53">
        <v>45354</v>
      </c>
      <c r="N28" t="s">
        <v>30</v>
      </c>
      <c r="O28" t="s">
        <v>73</v>
      </c>
      <c r="P28" s="54">
        <v>0.100079513411704</v>
      </c>
    </row>
    <row r="29" spans="1:16">
      <c r="A29" t="s">
        <v>144</v>
      </c>
      <c r="B29" t="s">
        <v>145</v>
      </c>
      <c r="C29" t="s">
        <v>146</v>
      </c>
      <c r="D29" t="s">
        <v>27</v>
      </c>
      <c r="E29" t="s">
        <v>117</v>
      </c>
      <c r="F29" t="s">
        <v>118</v>
      </c>
      <c r="G29">
        <v>4</v>
      </c>
      <c r="H29">
        <v>10593.14</v>
      </c>
      <c r="I29">
        <v>0.15</v>
      </c>
      <c r="J29">
        <v>36016.68</v>
      </c>
      <c r="K29">
        <v>5037.02</v>
      </c>
      <c r="L29">
        <v>4.9</v>
      </c>
      <c r="M29" s="53">
        <v>44963</v>
      </c>
      <c r="N29" t="s">
        <v>22</v>
      </c>
      <c r="O29" t="s">
        <v>44</v>
      </c>
      <c r="P29" s="54">
        <v>0.139852423932467</v>
      </c>
    </row>
    <row r="30" spans="1:16">
      <c r="A30" t="s">
        <v>147</v>
      </c>
      <c r="B30" t="s">
        <v>148</v>
      </c>
      <c r="C30" t="s">
        <v>149</v>
      </c>
      <c r="D30" t="s">
        <v>53</v>
      </c>
      <c r="E30" t="s">
        <v>71</v>
      </c>
      <c r="F30" t="s">
        <v>150</v>
      </c>
      <c r="G30">
        <v>5</v>
      </c>
      <c r="H30">
        <v>10507.72</v>
      </c>
      <c r="I30">
        <v>0.1</v>
      </c>
      <c r="J30">
        <v>47284.74</v>
      </c>
      <c r="K30">
        <v>5840.86</v>
      </c>
      <c r="L30">
        <v>1.2</v>
      </c>
      <c r="M30" s="53">
        <v>44986</v>
      </c>
      <c r="N30" t="s">
        <v>22</v>
      </c>
      <c r="O30" t="s">
        <v>23</v>
      </c>
      <c r="P30" s="54">
        <v>0.123525264176138</v>
      </c>
    </row>
    <row r="31" spans="1:16">
      <c r="A31" t="s">
        <v>151</v>
      </c>
      <c r="B31" t="s">
        <v>152</v>
      </c>
      <c r="C31" t="s">
        <v>153</v>
      </c>
      <c r="D31" t="s">
        <v>40</v>
      </c>
      <c r="E31" t="s">
        <v>41</v>
      </c>
      <c r="F31" t="s">
        <v>154</v>
      </c>
      <c r="G31">
        <v>5</v>
      </c>
      <c r="H31">
        <v>8350.62</v>
      </c>
      <c r="I31">
        <v>0.1</v>
      </c>
      <c r="J31">
        <v>37577.79</v>
      </c>
      <c r="K31">
        <v>3392.89</v>
      </c>
      <c r="L31">
        <v>2.7</v>
      </c>
      <c r="M31" s="53">
        <v>44999</v>
      </c>
      <c r="N31" t="s">
        <v>43</v>
      </c>
      <c r="O31" t="s">
        <v>73</v>
      </c>
      <c r="P31" s="54">
        <v>0.0902897695686734</v>
      </c>
    </row>
    <row r="32" spans="1:16">
      <c r="A32" t="s">
        <v>155</v>
      </c>
      <c r="B32" t="s">
        <v>156</v>
      </c>
      <c r="C32" t="s">
        <v>157</v>
      </c>
      <c r="D32" t="s">
        <v>19</v>
      </c>
      <c r="E32" t="s">
        <v>86</v>
      </c>
      <c r="F32" t="s">
        <v>87</v>
      </c>
      <c r="G32">
        <v>2</v>
      </c>
      <c r="H32">
        <v>13083.04</v>
      </c>
      <c r="I32">
        <v>0.1</v>
      </c>
      <c r="J32">
        <v>23549.47</v>
      </c>
      <c r="K32">
        <v>3084.73</v>
      </c>
      <c r="L32">
        <v>4.2</v>
      </c>
      <c r="M32" s="53">
        <v>45085</v>
      </c>
      <c r="N32" t="s">
        <v>56</v>
      </c>
      <c r="O32" t="s">
        <v>23</v>
      </c>
      <c r="P32" s="54">
        <v>0.130989359845466</v>
      </c>
    </row>
    <row r="33" spans="1:16">
      <c r="A33" t="s">
        <v>158</v>
      </c>
      <c r="B33" t="s">
        <v>159</v>
      </c>
      <c r="C33" t="s">
        <v>160</v>
      </c>
      <c r="D33" t="s">
        <v>19</v>
      </c>
      <c r="E33" t="s">
        <v>20</v>
      </c>
      <c r="F33" t="s">
        <v>134</v>
      </c>
      <c r="G33">
        <v>3</v>
      </c>
      <c r="H33">
        <v>17477.24</v>
      </c>
      <c r="I33">
        <v>0.05</v>
      </c>
      <c r="J33">
        <v>49810.13</v>
      </c>
      <c r="K33">
        <v>8079.8</v>
      </c>
      <c r="L33">
        <v>4.9</v>
      </c>
      <c r="M33" s="53">
        <v>45361</v>
      </c>
      <c r="N33" t="s">
        <v>43</v>
      </c>
      <c r="O33" t="s">
        <v>31</v>
      </c>
      <c r="P33" s="54">
        <v>0.162211983787234</v>
      </c>
    </row>
    <row r="34" spans="1:16">
      <c r="A34" t="s">
        <v>161</v>
      </c>
      <c r="B34" t="s">
        <v>162</v>
      </c>
      <c r="C34" t="s">
        <v>163</v>
      </c>
      <c r="D34" t="s">
        <v>53</v>
      </c>
      <c r="E34" t="s">
        <v>54</v>
      </c>
      <c r="F34" t="s">
        <v>55</v>
      </c>
      <c r="G34">
        <v>4</v>
      </c>
      <c r="H34">
        <v>13839.43</v>
      </c>
      <c r="I34">
        <v>0.2</v>
      </c>
      <c r="J34">
        <v>44286.18</v>
      </c>
      <c r="K34">
        <v>7373.1</v>
      </c>
      <c r="L34">
        <v>3.7</v>
      </c>
      <c r="M34" s="53">
        <v>45334</v>
      </c>
      <c r="N34" t="s">
        <v>22</v>
      </c>
      <c r="O34" t="s">
        <v>31</v>
      </c>
      <c r="P34" s="54">
        <v>0.166487604033583</v>
      </c>
    </row>
    <row r="35" spans="1:16">
      <c r="A35" t="s">
        <v>164</v>
      </c>
      <c r="B35" t="s">
        <v>165</v>
      </c>
      <c r="C35" t="s">
        <v>166</v>
      </c>
      <c r="D35" t="s">
        <v>19</v>
      </c>
      <c r="E35" t="s">
        <v>129</v>
      </c>
      <c r="F35" t="s">
        <v>167</v>
      </c>
      <c r="G35">
        <v>5</v>
      </c>
      <c r="H35">
        <v>19662.08</v>
      </c>
      <c r="I35">
        <v>0.1</v>
      </c>
      <c r="J35">
        <v>88479.36</v>
      </c>
      <c r="K35">
        <v>8721.17</v>
      </c>
      <c r="L35">
        <v>1.1</v>
      </c>
      <c r="M35" s="53">
        <v>45203</v>
      </c>
      <c r="N35" t="s">
        <v>43</v>
      </c>
      <c r="O35" t="s">
        <v>57</v>
      </c>
      <c r="P35" s="54">
        <v>0.0985672816801568</v>
      </c>
    </row>
    <row r="36" spans="1:16">
      <c r="A36" t="s">
        <v>168</v>
      </c>
      <c r="B36" t="s">
        <v>169</v>
      </c>
      <c r="C36" t="s">
        <v>170</v>
      </c>
      <c r="D36" t="s">
        <v>40</v>
      </c>
      <c r="E36" t="s">
        <v>41</v>
      </c>
      <c r="F36" t="s">
        <v>125</v>
      </c>
      <c r="G36">
        <v>2</v>
      </c>
      <c r="H36">
        <v>17643.39</v>
      </c>
      <c r="I36">
        <v>0.15</v>
      </c>
      <c r="J36">
        <v>29993.76</v>
      </c>
      <c r="K36">
        <v>2784.68</v>
      </c>
      <c r="L36">
        <v>3.6</v>
      </c>
      <c r="M36" s="53">
        <v>45291</v>
      </c>
      <c r="N36" t="s">
        <v>30</v>
      </c>
      <c r="O36" t="s">
        <v>57</v>
      </c>
      <c r="P36" s="54">
        <v>0.0928419777980487</v>
      </c>
    </row>
    <row r="37" spans="1:16">
      <c r="A37" t="s">
        <v>171</v>
      </c>
      <c r="B37" t="s">
        <v>172</v>
      </c>
      <c r="C37" t="s">
        <v>173</v>
      </c>
      <c r="D37" t="s">
        <v>40</v>
      </c>
      <c r="E37" t="s">
        <v>174</v>
      </c>
      <c r="F37" t="s">
        <v>175</v>
      </c>
      <c r="G37">
        <v>1</v>
      </c>
      <c r="H37">
        <v>13318.47</v>
      </c>
      <c r="I37">
        <v>0.05</v>
      </c>
      <c r="J37">
        <v>12652.55</v>
      </c>
      <c r="K37">
        <v>2386.4</v>
      </c>
      <c r="L37">
        <v>1.1</v>
      </c>
      <c r="M37" s="53">
        <v>45399</v>
      </c>
      <c r="N37" t="s">
        <v>56</v>
      </c>
      <c r="O37" t="s">
        <v>73</v>
      </c>
      <c r="P37" s="54">
        <v>0.188610201105706</v>
      </c>
    </row>
    <row r="38" spans="1:16">
      <c r="A38" t="s">
        <v>176</v>
      </c>
      <c r="B38" t="s">
        <v>177</v>
      </c>
      <c r="C38" t="s">
        <v>178</v>
      </c>
      <c r="D38" t="s">
        <v>19</v>
      </c>
      <c r="E38" t="s">
        <v>86</v>
      </c>
      <c r="F38" t="s">
        <v>87</v>
      </c>
      <c r="G38">
        <v>3</v>
      </c>
      <c r="H38">
        <v>8486.05</v>
      </c>
      <c r="I38">
        <v>0.05</v>
      </c>
      <c r="J38">
        <v>24185.24</v>
      </c>
      <c r="K38">
        <v>4676.53</v>
      </c>
      <c r="L38">
        <v>3.5</v>
      </c>
      <c r="M38" s="53">
        <v>45286</v>
      </c>
      <c r="N38" t="s">
        <v>56</v>
      </c>
      <c r="O38" t="s">
        <v>57</v>
      </c>
      <c r="P38" s="54">
        <v>0.193362976757725</v>
      </c>
    </row>
    <row r="39" spans="1:16">
      <c r="A39" t="s">
        <v>179</v>
      </c>
      <c r="B39" t="s">
        <v>180</v>
      </c>
      <c r="C39" t="s">
        <v>181</v>
      </c>
      <c r="D39" t="s">
        <v>19</v>
      </c>
      <c r="E39" t="s">
        <v>86</v>
      </c>
      <c r="F39" t="s">
        <v>182</v>
      </c>
      <c r="G39">
        <v>2</v>
      </c>
      <c r="H39">
        <v>5045.77</v>
      </c>
      <c r="I39">
        <v>0.1</v>
      </c>
      <c r="J39">
        <v>9082.39</v>
      </c>
      <c r="K39">
        <v>1155.36</v>
      </c>
      <c r="L39">
        <v>1</v>
      </c>
      <c r="M39" s="53">
        <v>45199</v>
      </c>
      <c r="N39" t="s">
        <v>22</v>
      </c>
      <c r="O39" t="s">
        <v>31</v>
      </c>
      <c r="P39" s="54">
        <v>0.12720880737339</v>
      </c>
    </row>
    <row r="40" spans="1:16">
      <c r="A40" t="s">
        <v>183</v>
      </c>
      <c r="B40" t="s">
        <v>184</v>
      </c>
      <c r="C40" t="s">
        <v>185</v>
      </c>
      <c r="D40" t="s">
        <v>53</v>
      </c>
      <c r="E40" t="s">
        <v>54</v>
      </c>
      <c r="F40" t="s">
        <v>55</v>
      </c>
      <c r="G40">
        <v>4</v>
      </c>
      <c r="H40">
        <v>16289.54</v>
      </c>
      <c r="I40">
        <v>0.2</v>
      </c>
      <c r="J40">
        <v>52126.53</v>
      </c>
      <c r="K40">
        <v>11409.3</v>
      </c>
      <c r="L40">
        <v>2.9</v>
      </c>
      <c r="M40" s="53">
        <v>45439</v>
      </c>
      <c r="N40" t="s">
        <v>43</v>
      </c>
      <c r="O40" t="s">
        <v>44</v>
      </c>
      <c r="P40" s="54">
        <v>0.21887702864549</v>
      </c>
    </row>
    <row r="41" spans="1:16">
      <c r="A41" t="s">
        <v>186</v>
      </c>
      <c r="B41" t="s">
        <v>187</v>
      </c>
      <c r="C41" t="s">
        <v>188</v>
      </c>
      <c r="D41" t="s">
        <v>53</v>
      </c>
      <c r="E41" t="s">
        <v>100</v>
      </c>
      <c r="F41" t="s">
        <v>101</v>
      </c>
      <c r="G41">
        <v>1</v>
      </c>
      <c r="H41">
        <v>19854.35</v>
      </c>
      <c r="I41">
        <v>0.15</v>
      </c>
      <c r="J41">
        <v>16876.2</v>
      </c>
      <c r="K41">
        <v>3846.24</v>
      </c>
      <c r="L41">
        <v>1</v>
      </c>
      <c r="M41" s="53">
        <v>45537</v>
      </c>
      <c r="N41" t="s">
        <v>22</v>
      </c>
      <c r="O41" t="s">
        <v>44</v>
      </c>
      <c r="P41" s="54">
        <v>0.227909126462118</v>
      </c>
    </row>
    <row r="42" spans="1:16">
      <c r="A42" t="s">
        <v>189</v>
      </c>
      <c r="B42" t="s">
        <v>190</v>
      </c>
      <c r="C42" t="s">
        <v>191</v>
      </c>
      <c r="D42" t="s">
        <v>27</v>
      </c>
      <c r="E42" t="s">
        <v>28</v>
      </c>
      <c r="F42" t="s">
        <v>192</v>
      </c>
      <c r="G42">
        <v>2</v>
      </c>
      <c r="H42">
        <v>12146.64</v>
      </c>
      <c r="I42">
        <v>0.15</v>
      </c>
      <c r="J42">
        <v>20649.29</v>
      </c>
      <c r="K42">
        <v>3735.06</v>
      </c>
      <c r="L42">
        <v>1.1</v>
      </c>
      <c r="M42" s="53">
        <v>45516</v>
      </c>
      <c r="N42" t="s">
        <v>43</v>
      </c>
      <c r="O42" t="s">
        <v>44</v>
      </c>
      <c r="P42" s="54">
        <v>0.180880795417179</v>
      </c>
    </row>
    <row r="43" spans="1:16">
      <c r="A43" t="s">
        <v>193</v>
      </c>
      <c r="B43" t="s">
        <v>194</v>
      </c>
      <c r="C43" t="s">
        <v>195</v>
      </c>
      <c r="D43" t="s">
        <v>19</v>
      </c>
      <c r="E43" t="s">
        <v>20</v>
      </c>
      <c r="F43" t="s">
        <v>134</v>
      </c>
      <c r="G43">
        <v>4</v>
      </c>
      <c r="H43">
        <v>13350.48</v>
      </c>
      <c r="I43">
        <v>0.05</v>
      </c>
      <c r="J43">
        <v>50731.82</v>
      </c>
      <c r="K43">
        <v>5360.22</v>
      </c>
      <c r="L43">
        <v>1.5</v>
      </c>
      <c r="M43" s="53">
        <v>45508</v>
      </c>
      <c r="N43" t="s">
        <v>22</v>
      </c>
      <c r="O43" t="s">
        <v>23</v>
      </c>
      <c r="P43" s="54">
        <v>0.10565794800975</v>
      </c>
    </row>
    <row r="44" spans="1:16">
      <c r="A44" t="s">
        <v>196</v>
      </c>
      <c r="B44" t="s">
        <v>197</v>
      </c>
      <c r="C44" t="s">
        <v>198</v>
      </c>
      <c r="D44" t="s">
        <v>40</v>
      </c>
      <c r="E44" t="s">
        <v>174</v>
      </c>
      <c r="F44" t="s">
        <v>199</v>
      </c>
      <c r="G44">
        <v>2</v>
      </c>
      <c r="H44">
        <v>162.93</v>
      </c>
      <c r="I44">
        <v>0</v>
      </c>
      <c r="J44">
        <v>325.86</v>
      </c>
      <c r="K44">
        <v>51.82</v>
      </c>
      <c r="L44">
        <v>4.5</v>
      </c>
      <c r="M44" s="53">
        <v>44994</v>
      </c>
      <c r="N44" t="s">
        <v>30</v>
      </c>
      <c r="O44" t="s">
        <v>57</v>
      </c>
      <c r="P44" s="54">
        <v>0.15902534830909</v>
      </c>
    </row>
    <row r="45" spans="1:16">
      <c r="A45" t="s">
        <v>200</v>
      </c>
      <c r="B45" t="s">
        <v>159</v>
      </c>
      <c r="C45" t="s">
        <v>201</v>
      </c>
      <c r="D45" t="s">
        <v>40</v>
      </c>
      <c r="E45" t="s">
        <v>174</v>
      </c>
      <c r="F45" t="s">
        <v>202</v>
      </c>
      <c r="G45">
        <v>1</v>
      </c>
      <c r="H45">
        <v>14773.94</v>
      </c>
      <c r="I45">
        <v>0.1</v>
      </c>
      <c r="J45">
        <v>13296.55</v>
      </c>
      <c r="K45">
        <v>2620.61</v>
      </c>
      <c r="L45">
        <v>1.2</v>
      </c>
      <c r="M45" s="53">
        <v>45355</v>
      </c>
      <c r="N45" t="s">
        <v>22</v>
      </c>
      <c r="O45" t="s">
        <v>23</v>
      </c>
      <c r="P45" s="54">
        <v>0.197089470576954</v>
      </c>
    </row>
    <row r="46" spans="1:16">
      <c r="A46" t="s">
        <v>203</v>
      </c>
      <c r="B46" t="s">
        <v>204</v>
      </c>
      <c r="C46" t="s">
        <v>205</v>
      </c>
      <c r="D46" t="s">
        <v>27</v>
      </c>
      <c r="E46" t="s">
        <v>28</v>
      </c>
      <c r="F46" t="s">
        <v>29</v>
      </c>
      <c r="G46">
        <v>3</v>
      </c>
      <c r="H46">
        <v>14883.1</v>
      </c>
      <c r="I46">
        <v>0.1</v>
      </c>
      <c r="J46">
        <v>40184.37</v>
      </c>
      <c r="K46">
        <v>9211.86</v>
      </c>
      <c r="L46">
        <v>2.4</v>
      </c>
      <c r="M46" s="53">
        <v>45260</v>
      </c>
      <c r="N46" t="s">
        <v>56</v>
      </c>
      <c r="O46" t="s">
        <v>73</v>
      </c>
      <c r="P46" s="54">
        <v>0.229239876101081</v>
      </c>
    </row>
    <row r="47" spans="1:16">
      <c r="A47" t="s">
        <v>206</v>
      </c>
      <c r="B47" t="s">
        <v>207</v>
      </c>
      <c r="C47" t="s">
        <v>208</v>
      </c>
      <c r="D47" t="s">
        <v>19</v>
      </c>
      <c r="E47" t="s">
        <v>86</v>
      </c>
      <c r="F47" t="s">
        <v>182</v>
      </c>
      <c r="G47">
        <v>5</v>
      </c>
      <c r="H47">
        <v>16778.94</v>
      </c>
      <c r="I47">
        <v>0.1</v>
      </c>
      <c r="J47">
        <v>75505.23</v>
      </c>
      <c r="K47">
        <v>8509.53</v>
      </c>
      <c r="L47">
        <v>1.8</v>
      </c>
      <c r="M47" s="53">
        <v>45610</v>
      </c>
      <c r="N47" t="s">
        <v>30</v>
      </c>
      <c r="O47" t="s">
        <v>23</v>
      </c>
      <c r="P47" s="54">
        <v>0.112701199638753</v>
      </c>
    </row>
    <row r="48" spans="1:16">
      <c r="A48" t="s">
        <v>209</v>
      </c>
      <c r="B48" t="s">
        <v>210</v>
      </c>
      <c r="C48" t="s">
        <v>211</v>
      </c>
      <c r="D48" t="s">
        <v>27</v>
      </c>
      <c r="E48" t="s">
        <v>48</v>
      </c>
      <c r="F48" t="s">
        <v>64</v>
      </c>
      <c r="G48">
        <v>5</v>
      </c>
      <c r="H48">
        <v>1681.32</v>
      </c>
      <c r="I48">
        <v>0.1</v>
      </c>
      <c r="J48">
        <v>7565.94</v>
      </c>
      <c r="K48">
        <v>1412.61</v>
      </c>
      <c r="L48">
        <v>1.1</v>
      </c>
      <c r="M48" s="53">
        <v>45641</v>
      </c>
      <c r="N48" t="s">
        <v>43</v>
      </c>
      <c r="O48" t="s">
        <v>57</v>
      </c>
      <c r="P48" s="54">
        <v>0.18670647665723</v>
      </c>
    </row>
    <row r="49" spans="1:16">
      <c r="A49" t="s">
        <v>212</v>
      </c>
      <c r="B49" t="s">
        <v>213</v>
      </c>
      <c r="C49" t="s">
        <v>214</v>
      </c>
      <c r="D49" t="s">
        <v>19</v>
      </c>
      <c r="E49" t="s">
        <v>35</v>
      </c>
      <c r="F49" t="s">
        <v>215</v>
      </c>
      <c r="G49">
        <v>4</v>
      </c>
      <c r="H49">
        <v>16972.99</v>
      </c>
      <c r="I49">
        <v>0.05</v>
      </c>
      <c r="J49">
        <v>64497.36</v>
      </c>
      <c r="K49">
        <v>6515.53</v>
      </c>
      <c r="L49">
        <v>2</v>
      </c>
      <c r="M49" s="53">
        <v>45408</v>
      </c>
      <c r="N49" t="s">
        <v>56</v>
      </c>
      <c r="O49" t="s">
        <v>23</v>
      </c>
      <c r="P49" s="54">
        <v>0.101020103768588</v>
      </c>
    </row>
    <row r="50" spans="1:16">
      <c r="A50" t="s">
        <v>216</v>
      </c>
      <c r="B50" t="s">
        <v>217</v>
      </c>
      <c r="C50" t="s">
        <v>218</v>
      </c>
      <c r="D50" t="s">
        <v>19</v>
      </c>
      <c r="E50" t="s">
        <v>129</v>
      </c>
      <c r="F50" t="s">
        <v>130</v>
      </c>
      <c r="G50">
        <v>4</v>
      </c>
      <c r="H50">
        <v>10469.33</v>
      </c>
      <c r="I50">
        <v>0.15</v>
      </c>
      <c r="J50">
        <v>35595.72</v>
      </c>
      <c r="K50">
        <v>1864.09</v>
      </c>
      <c r="L50">
        <v>1.4</v>
      </c>
      <c r="M50" s="53">
        <v>45186</v>
      </c>
      <c r="N50" t="s">
        <v>56</v>
      </c>
      <c r="O50" t="s">
        <v>57</v>
      </c>
      <c r="P50" s="54">
        <v>0.0523683746248144</v>
      </c>
    </row>
    <row r="51" spans="1:16">
      <c r="A51" t="s">
        <v>219</v>
      </c>
      <c r="B51" t="s">
        <v>220</v>
      </c>
      <c r="C51" t="s">
        <v>221</v>
      </c>
      <c r="D51" t="s">
        <v>27</v>
      </c>
      <c r="E51" t="s">
        <v>28</v>
      </c>
      <c r="F51" t="s">
        <v>192</v>
      </c>
      <c r="G51">
        <v>3</v>
      </c>
      <c r="H51">
        <v>4619.82</v>
      </c>
      <c r="I51">
        <v>0.1</v>
      </c>
      <c r="J51">
        <v>12473.51</v>
      </c>
      <c r="K51">
        <v>2325.04</v>
      </c>
      <c r="L51">
        <v>3.1</v>
      </c>
      <c r="M51" s="53">
        <v>45332</v>
      </c>
      <c r="N51" t="s">
        <v>22</v>
      </c>
      <c r="O51" t="s">
        <v>73</v>
      </c>
      <c r="P51" s="54">
        <v>0.186398215097435</v>
      </c>
    </row>
    <row r="52" spans="1:16">
      <c r="A52" t="s">
        <v>222</v>
      </c>
      <c r="B52" t="s">
        <v>223</v>
      </c>
      <c r="C52" t="s">
        <v>224</v>
      </c>
      <c r="D52" t="s">
        <v>27</v>
      </c>
      <c r="E52" t="s">
        <v>117</v>
      </c>
      <c r="F52" t="s">
        <v>225</v>
      </c>
      <c r="G52">
        <v>2</v>
      </c>
      <c r="H52">
        <v>5122.27</v>
      </c>
      <c r="I52">
        <v>0.2</v>
      </c>
      <c r="J52">
        <v>8195.63</v>
      </c>
      <c r="K52">
        <v>1892.86</v>
      </c>
      <c r="L52">
        <v>4.2</v>
      </c>
      <c r="M52" s="53">
        <v>45197</v>
      </c>
      <c r="N52" t="s">
        <v>30</v>
      </c>
      <c r="O52" t="s">
        <v>44</v>
      </c>
      <c r="P52" s="54">
        <v>0.23095966997046</v>
      </c>
    </row>
    <row r="53" spans="1:16">
      <c r="A53" t="s">
        <v>226</v>
      </c>
      <c r="B53" t="s">
        <v>227</v>
      </c>
      <c r="C53" t="s">
        <v>228</v>
      </c>
      <c r="D53" t="s">
        <v>53</v>
      </c>
      <c r="E53" t="s">
        <v>100</v>
      </c>
      <c r="F53" t="s">
        <v>229</v>
      </c>
      <c r="G53">
        <v>1</v>
      </c>
      <c r="H53">
        <v>18744.16</v>
      </c>
      <c r="I53">
        <v>0</v>
      </c>
      <c r="J53">
        <v>18744.16</v>
      </c>
      <c r="K53">
        <v>2149.66</v>
      </c>
      <c r="L53">
        <v>3.2</v>
      </c>
      <c r="M53" s="53">
        <v>45574</v>
      </c>
      <c r="N53" t="s">
        <v>56</v>
      </c>
      <c r="O53" t="s">
        <v>31</v>
      </c>
      <c r="P53" s="54">
        <v>0.114684253655539</v>
      </c>
    </row>
    <row r="54" spans="1:16">
      <c r="A54" t="s">
        <v>230</v>
      </c>
      <c r="B54" t="s">
        <v>231</v>
      </c>
      <c r="C54" t="s">
        <v>232</v>
      </c>
      <c r="D54" t="s">
        <v>27</v>
      </c>
      <c r="E54" t="s">
        <v>233</v>
      </c>
      <c r="F54" t="s">
        <v>234</v>
      </c>
      <c r="G54">
        <v>5</v>
      </c>
      <c r="H54">
        <v>19827.9</v>
      </c>
      <c r="I54">
        <v>0.2</v>
      </c>
      <c r="J54">
        <v>79311.6</v>
      </c>
      <c r="K54">
        <v>17779.87</v>
      </c>
      <c r="L54">
        <v>4.1</v>
      </c>
      <c r="M54" s="53">
        <v>45182</v>
      </c>
      <c r="N54" t="s">
        <v>43</v>
      </c>
      <c r="O54" t="s">
        <v>31</v>
      </c>
      <c r="P54" s="54">
        <v>0.224177421713848</v>
      </c>
    </row>
    <row r="55" spans="1:16">
      <c r="A55" t="s">
        <v>235</v>
      </c>
      <c r="B55" t="s">
        <v>236</v>
      </c>
      <c r="C55" t="s">
        <v>237</v>
      </c>
      <c r="D55" t="s">
        <v>19</v>
      </c>
      <c r="E55" t="s">
        <v>20</v>
      </c>
      <c r="F55" t="s">
        <v>134</v>
      </c>
      <c r="G55">
        <v>1</v>
      </c>
      <c r="H55">
        <v>9020.8</v>
      </c>
      <c r="I55">
        <v>0.1</v>
      </c>
      <c r="J55">
        <v>8118.72</v>
      </c>
      <c r="K55">
        <v>1639.87</v>
      </c>
      <c r="L55">
        <v>3.5</v>
      </c>
      <c r="M55" s="53">
        <v>45363</v>
      </c>
      <c r="N55" t="s">
        <v>56</v>
      </c>
      <c r="O55" t="s">
        <v>44</v>
      </c>
      <c r="P55" s="54">
        <v>0.201986273698317</v>
      </c>
    </row>
    <row r="56" spans="1:16">
      <c r="A56" t="s">
        <v>238</v>
      </c>
      <c r="B56" t="s">
        <v>239</v>
      </c>
      <c r="C56" t="s">
        <v>240</v>
      </c>
      <c r="D56" t="s">
        <v>40</v>
      </c>
      <c r="E56" t="s">
        <v>81</v>
      </c>
      <c r="F56" t="s">
        <v>241</v>
      </c>
      <c r="G56">
        <v>1</v>
      </c>
      <c r="H56">
        <v>18868.66</v>
      </c>
      <c r="I56">
        <v>0.15</v>
      </c>
      <c r="J56">
        <v>16038.36</v>
      </c>
      <c r="K56">
        <v>1832.29</v>
      </c>
      <c r="L56">
        <v>1.9</v>
      </c>
      <c r="M56" s="53">
        <v>45498</v>
      </c>
      <c r="N56" t="s">
        <v>22</v>
      </c>
      <c r="O56" t="s">
        <v>44</v>
      </c>
      <c r="P56" s="54">
        <v>0.114244224471829</v>
      </c>
    </row>
    <row r="57" spans="1:16">
      <c r="A57" t="s">
        <v>242</v>
      </c>
      <c r="B57" t="s">
        <v>243</v>
      </c>
      <c r="C57" t="s">
        <v>244</v>
      </c>
      <c r="D57" t="s">
        <v>19</v>
      </c>
      <c r="E57" t="s">
        <v>35</v>
      </c>
      <c r="F57" t="s">
        <v>245</v>
      </c>
      <c r="G57">
        <v>2</v>
      </c>
      <c r="H57">
        <v>2103.19</v>
      </c>
      <c r="I57">
        <v>0.1</v>
      </c>
      <c r="J57">
        <v>3785.74</v>
      </c>
      <c r="K57">
        <v>356.46</v>
      </c>
      <c r="L57">
        <v>3.4</v>
      </c>
      <c r="M57" s="53">
        <v>45564</v>
      </c>
      <c r="N57" t="s">
        <v>22</v>
      </c>
      <c r="O57" t="s">
        <v>31</v>
      </c>
      <c r="P57" s="54">
        <v>0.094158605715131</v>
      </c>
    </row>
    <row r="58" spans="1:16">
      <c r="A58" t="s">
        <v>246</v>
      </c>
      <c r="B58" t="s">
        <v>247</v>
      </c>
      <c r="C58" t="s">
        <v>248</v>
      </c>
      <c r="D58" t="s">
        <v>53</v>
      </c>
      <c r="E58" t="s">
        <v>54</v>
      </c>
      <c r="F58" t="s">
        <v>249</v>
      </c>
      <c r="G58">
        <v>1</v>
      </c>
      <c r="H58">
        <v>10396.12</v>
      </c>
      <c r="I58">
        <v>0</v>
      </c>
      <c r="J58">
        <v>10396.12</v>
      </c>
      <c r="K58">
        <v>2523.79</v>
      </c>
      <c r="L58">
        <v>3.2</v>
      </c>
      <c r="M58" s="53">
        <v>45644</v>
      </c>
      <c r="N58" t="s">
        <v>43</v>
      </c>
      <c r="O58" t="s">
        <v>73</v>
      </c>
      <c r="P58" s="54">
        <v>0.242762684540001</v>
      </c>
    </row>
    <row r="59" spans="1:16">
      <c r="A59" t="s">
        <v>250</v>
      </c>
      <c r="B59" t="s">
        <v>251</v>
      </c>
      <c r="C59" t="s">
        <v>252</v>
      </c>
      <c r="D59" t="s">
        <v>19</v>
      </c>
      <c r="E59" t="s">
        <v>129</v>
      </c>
      <c r="F59" t="s">
        <v>167</v>
      </c>
      <c r="G59">
        <v>5</v>
      </c>
      <c r="H59">
        <v>859.46</v>
      </c>
      <c r="I59">
        <v>0.1</v>
      </c>
      <c r="J59">
        <v>3867.57</v>
      </c>
      <c r="K59">
        <v>808.17</v>
      </c>
      <c r="L59">
        <v>3.8</v>
      </c>
      <c r="M59" s="53">
        <v>45443</v>
      </c>
      <c r="N59" t="s">
        <v>22</v>
      </c>
      <c r="O59" t="s">
        <v>44</v>
      </c>
      <c r="P59" s="54">
        <v>0.2089606652239</v>
      </c>
    </row>
    <row r="60" spans="1:16">
      <c r="A60" t="s">
        <v>253</v>
      </c>
      <c r="B60" t="s">
        <v>254</v>
      </c>
      <c r="C60" t="s">
        <v>255</v>
      </c>
      <c r="D60" t="s">
        <v>40</v>
      </c>
      <c r="E60" t="s">
        <v>174</v>
      </c>
      <c r="F60" t="s">
        <v>175</v>
      </c>
      <c r="G60">
        <v>2</v>
      </c>
      <c r="H60">
        <v>5473.85</v>
      </c>
      <c r="I60">
        <v>0.15</v>
      </c>
      <c r="J60">
        <v>9305.55</v>
      </c>
      <c r="K60">
        <v>1674.86</v>
      </c>
      <c r="L60">
        <v>3.1</v>
      </c>
      <c r="M60" s="53">
        <v>45288</v>
      </c>
      <c r="N60" t="s">
        <v>30</v>
      </c>
      <c r="O60" t="s">
        <v>44</v>
      </c>
      <c r="P60" s="54">
        <v>0.179985062677649</v>
      </c>
    </row>
    <row r="61" spans="1:16">
      <c r="A61" t="s">
        <v>256</v>
      </c>
      <c r="B61" t="s">
        <v>172</v>
      </c>
      <c r="C61" t="s">
        <v>257</v>
      </c>
      <c r="D61" t="s">
        <v>53</v>
      </c>
      <c r="E61" t="s">
        <v>54</v>
      </c>
      <c r="F61" t="s">
        <v>258</v>
      </c>
      <c r="G61">
        <v>3</v>
      </c>
      <c r="H61">
        <v>7027.97</v>
      </c>
      <c r="I61">
        <v>0</v>
      </c>
      <c r="J61">
        <v>21083.91</v>
      </c>
      <c r="K61">
        <v>2855.01</v>
      </c>
      <c r="L61">
        <v>2.6</v>
      </c>
      <c r="M61" s="53">
        <v>44961</v>
      </c>
      <c r="N61" t="s">
        <v>43</v>
      </c>
      <c r="O61" t="s">
        <v>31</v>
      </c>
      <c r="P61" s="54">
        <v>0.13541179031783</v>
      </c>
    </row>
    <row r="62" spans="1:16">
      <c r="A62" t="s">
        <v>259</v>
      </c>
      <c r="B62" t="s">
        <v>260</v>
      </c>
      <c r="C62" t="s">
        <v>261</v>
      </c>
      <c r="D62" t="s">
        <v>40</v>
      </c>
      <c r="E62" t="s">
        <v>262</v>
      </c>
      <c r="F62" t="s">
        <v>263</v>
      </c>
      <c r="G62">
        <v>1</v>
      </c>
      <c r="H62">
        <v>2303.08</v>
      </c>
      <c r="I62">
        <v>0</v>
      </c>
      <c r="J62">
        <v>2303.08</v>
      </c>
      <c r="K62">
        <v>478.53</v>
      </c>
      <c r="L62">
        <v>3.6</v>
      </c>
      <c r="M62" s="53">
        <v>45360</v>
      </c>
      <c r="N62" t="s">
        <v>30</v>
      </c>
      <c r="O62" t="s">
        <v>73</v>
      </c>
      <c r="P62" s="54">
        <v>0.207778279521337</v>
      </c>
    </row>
    <row r="63" spans="1:16">
      <c r="A63" t="s">
        <v>264</v>
      </c>
      <c r="B63" t="s">
        <v>265</v>
      </c>
      <c r="C63" t="s">
        <v>266</v>
      </c>
      <c r="D63" t="s">
        <v>53</v>
      </c>
      <c r="E63" t="s">
        <v>100</v>
      </c>
      <c r="F63" t="s">
        <v>267</v>
      </c>
      <c r="G63">
        <v>1</v>
      </c>
      <c r="H63">
        <v>345.05</v>
      </c>
      <c r="I63">
        <v>0.15</v>
      </c>
      <c r="J63">
        <v>293.29</v>
      </c>
      <c r="K63">
        <v>32.11</v>
      </c>
      <c r="L63">
        <v>2.6</v>
      </c>
      <c r="M63" s="53">
        <v>45033</v>
      </c>
      <c r="N63" t="s">
        <v>30</v>
      </c>
      <c r="O63" t="s">
        <v>73</v>
      </c>
      <c r="P63" s="54">
        <v>0.109482082580381</v>
      </c>
    </row>
    <row r="64" spans="1:16">
      <c r="A64" t="s">
        <v>268</v>
      </c>
      <c r="B64" t="s">
        <v>269</v>
      </c>
      <c r="C64" t="s">
        <v>270</v>
      </c>
      <c r="D64" t="s">
        <v>53</v>
      </c>
      <c r="E64" t="s">
        <v>95</v>
      </c>
      <c r="F64" t="s">
        <v>271</v>
      </c>
      <c r="G64">
        <v>2</v>
      </c>
      <c r="H64">
        <v>15919.66</v>
      </c>
      <c r="I64">
        <v>0.15</v>
      </c>
      <c r="J64">
        <v>27063.42</v>
      </c>
      <c r="K64">
        <v>2731.96</v>
      </c>
      <c r="L64">
        <v>2.5</v>
      </c>
      <c r="M64" s="53">
        <v>45512</v>
      </c>
      <c r="N64" t="s">
        <v>22</v>
      </c>
      <c r="O64" t="s">
        <v>31</v>
      </c>
      <c r="P64" s="54">
        <v>0.100946591376847</v>
      </c>
    </row>
    <row r="65" spans="1:16">
      <c r="A65" t="s">
        <v>272</v>
      </c>
      <c r="B65" t="s">
        <v>273</v>
      </c>
      <c r="C65" t="s">
        <v>274</v>
      </c>
      <c r="D65" t="s">
        <v>19</v>
      </c>
      <c r="E65" t="s">
        <v>20</v>
      </c>
      <c r="F65" t="s">
        <v>121</v>
      </c>
      <c r="G65">
        <v>2</v>
      </c>
      <c r="H65">
        <v>2322.4</v>
      </c>
      <c r="I65">
        <v>0.05</v>
      </c>
      <c r="J65">
        <v>4412.56</v>
      </c>
      <c r="K65">
        <v>365.18</v>
      </c>
      <c r="L65">
        <v>4.3</v>
      </c>
      <c r="M65" s="53">
        <v>45626</v>
      </c>
      <c r="N65" t="s">
        <v>30</v>
      </c>
      <c r="O65" t="s">
        <v>73</v>
      </c>
      <c r="P65" s="54">
        <v>0.0827592146055804</v>
      </c>
    </row>
    <row r="66" spans="1:16">
      <c r="A66" t="s">
        <v>275</v>
      </c>
      <c r="B66" t="s">
        <v>276</v>
      </c>
      <c r="C66" t="s">
        <v>277</v>
      </c>
      <c r="D66" t="s">
        <v>53</v>
      </c>
      <c r="E66" t="s">
        <v>54</v>
      </c>
      <c r="F66" t="s">
        <v>109</v>
      </c>
      <c r="G66">
        <v>4</v>
      </c>
      <c r="H66">
        <v>1282.2</v>
      </c>
      <c r="I66">
        <v>0.05</v>
      </c>
      <c r="J66">
        <v>4872.36</v>
      </c>
      <c r="K66">
        <v>672.08</v>
      </c>
      <c r="L66">
        <v>2</v>
      </c>
      <c r="M66" s="53">
        <v>44931</v>
      </c>
      <c r="N66" t="s">
        <v>30</v>
      </c>
      <c r="O66" t="s">
        <v>31</v>
      </c>
      <c r="P66" s="54">
        <v>0.137937262435452</v>
      </c>
    </row>
    <row r="67" spans="1:16">
      <c r="A67" t="s">
        <v>278</v>
      </c>
      <c r="B67" t="s">
        <v>279</v>
      </c>
      <c r="C67" t="s">
        <v>280</v>
      </c>
      <c r="D67" t="s">
        <v>19</v>
      </c>
      <c r="E67" t="s">
        <v>20</v>
      </c>
      <c r="F67" t="s">
        <v>21</v>
      </c>
      <c r="G67">
        <v>2</v>
      </c>
      <c r="H67">
        <v>14152.4</v>
      </c>
      <c r="I67">
        <v>0.05</v>
      </c>
      <c r="J67">
        <v>26889.56</v>
      </c>
      <c r="K67">
        <v>3600.48</v>
      </c>
      <c r="L67">
        <v>4.3</v>
      </c>
      <c r="M67" s="53">
        <v>45634</v>
      </c>
      <c r="N67" t="s">
        <v>43</v>
      </c>
      <c r="O67" t="s">
        <v>31</v>
      </c>
      <c r="P67" s="54">
        <v>0.133898806823168</v>
      </c>
    </row>
    <row r="68" spans="1:16">
      <c r="A68" t="s">
        <v>281</v>
      </c>
      <c r="B68" t="s">
        <v>282</v>
      </c>
      <c r="C68" t="s">
        <v>283</v>
      </c>
      <c r="D68" t="s">
        <v>40</v>
      </c>
      <c r="E68" t="s">
        <v>41</v>
      </c>
      <c r="F68" t="s">
        <v>42</v>
      </c>
      <c r="G68">
        <v>4</v>
      </c>
      <c r="H68">
        <v>15350.38</v>
      </c>
      <c r="I68">
        <v>0.15</v>
      </c>
      <c r="J68">
        <v>52191.29</v>
      </c>
      <c r="K68">
        <v>7543.97</v>
      </c>
      <c r="L68">
        <v>2.5</v>
      </c>
      <c r="M68" s="53">
        <v>45362</v>
      </c>
      <c r="N68" t="s">
        <v>56</v>
      </c>
      <c r="O68" t="s">
        <v>57</v>
      </c>
      <c r="P68" s="54">
        <v>0.144544616544255</v>
      </c>
    </row>
    <row r="69" spans="1:16">
      <c r="A69" t="s">
        <v>284</v>
      </c>
      <c r="B69" t="s">
        <v>285</v>
      </c>
      <c r="C69" t="s">
        <v>286</v>
      </c>
      <c r="D69" t="s">
        <v>40</v>
      </c>
      <c r="E69" t="s">
        <v>41</v>
      </c>
      <c r="F69" t="s">
        <v>125</v>
      </c>
      <c r="G69">
        <v>3</v>
      </c>
      <c r="H69">
        <v>4962.49</v>
      </c>
      <c r="I69">
        <v>0</v>
      </c>
      <c r="J69">
        <v>14887.47</v>
      </c>
      <c r="K69">
        <v>3373.04</v>
      </c>
      <c r="L69">
        <v>2</v>
      </c>
      <c r="M69" s="53">
        <v>45609</v>
      </c>
      <c r="N69" t="s">
        <v>56</v>
      </c>
      <c r="O69" t="s">
        <v>44</v>
      </c>
      <c r="P69" s="54">
        <v>0.226569054379287</v>
      </c>
    </row>
    <row r="70" spans="1:16">
      <c r="A70" t="s">
        <v>287</v>
      </c>
      <c r="B70" t="s">
        <v>288</v>
      </c>
      <c r="C70" t="s">
        <v>289</v>
      </c>
      <c r="D70" t="s">
        <v>40</v>
      </c>
      <c r="E70" t="s">
        <v>41</v>
      </c>
      <c r="F70" t="s">
        <v>154</v>
      </c>
      <c r="G70">
        <v>2</v>
      </c>
      <c r="H70">
        <v>7525.07</v>
      </c>
      <c r="I70">
        <v>0.1</v>
      </c>
      <c r="J70">
        <v>13545.13</v>
      </c>
      <c r="K70">
        <v>1635.84</v>
      </c>
      <c r="L70">
        <v>1.5</v>
      </c>
      <c r="M70" s="53">
        <v>45221</v>
      </c>
      <c r="N70" t="s">
        <v>22</v>
      </c>
      <c r="O70" t="s">
        <v>73</v>
      </c>
      <c r="P70" s="54">
        <v>0.120769605016711</v>
      </c>
    </row>
    <row r="71" spans="1:16">
      <c r="A71" t="s">
        <v>290</v>
      </c>
      <c r="B71" t="s">
        <v>291</v>
      </c>
      <c r="C71" t="s">
        <v>292</v>
      </c>
      <c r="D71" t="s">
        <v>27</v>
      </c>
      <c r="E71" t="s">
        <v>48</v>
      </c>
      <c r="F71" t="s">
        <v>64</v>
      </c>
      <c r="G71">
        <v>1</v>
      </c>
      <c r="H71">
        <v>16358.83</v>
      </c>
      <c r="I71">
        <v>0</v>
      </c>
      <c r="J71">
        <v>16358.83</v>
      </c>
      <c r="K71">
        <v>3929.88</v>
      </c>
      <c r="L71">
        <v>4.5</v>
      </c>
      <c r="M71" s="53">
        <v>45655</v>
      </c>
      <c r="N71" t="s">
        <v>30</v>
      </c>
      <c r="O71" t="s">
        <v>23</v>
      </c>
      <c r="P71" s="54">
        <v>0.240229894191699</v>
      </c>
    </row>
    <row r="72" spans="1:16">
      <c r="A72" t="s">
        <v>293</v>
      </c>
      <c r="B72" t="s">
        <v>294</v>
      </c>
      <c r="C72" t="s">
        <v>295</v>
      </c>
      <c r="D72" t="s">
        <v>40</v>
      </c>
      <c r="E72" t="s">
        <v>41</v>
      </c>
      <c r="F72" t="s">
        <v>125</v>
      </c>
      <c r="G72">
        <v>1</v>
      </c>
      <c r="H72">
        <v>4515.86</v>
      </c>
      <c r="I72">
        <v>0</v>
      </c>
      <c r="J72">
        <v>4515.86</v>
      </c>
      <c r="K72">
        <v>425.46</v>
      </c>
      <c r="L72">
        <v>3.4</v>
      </c>
      <c r="M72" s="53">
        <v>45121</v>
      </c>
      <c r="N72" t="s">
        <v>22</v>
      </c>
      <c r="O72" t="s">
        <v>23</v>
      </c>
      <c r="P72" s="54">
        <v>0.0942146124990589</v>
      </c>
    </row>
    <row r="73" spans="1:16">
      <c r="A73" t="s">
        <v>296</v>
      </c>
      <c r="B73" t="s">
        <v>297</v>
      </c>
      <c r="C73" t="s">
        <v>298</v>
      </c>
      <c r="D73" t="s">
        <v>19</v>
      </c>
      <c r="E73" t="s">
        <v>20</v>
      </c>
      <c r="F73" t="s">
        <v>21</v>
      </c>
      <c r="G73">
        <v>2</v>
      </c>
      <c r="H73">
        <v>19562.4</v>
      </c>
      <c r="I73">
        <v>0.2</v>
      </c>
      <c r="J73">
        <v>31299.84</v>
      </c>
      <c r="K73">
        <v>2920.98</v>
      </c>
      <c r="L73">
        <v>2.3</v>
      </c>
      <c r="M73" s="53">
        <v>45409</v>
      </c>
      <c r="N73" t="s">
        <v>22</v>
      </c>
      <c r="O73" t="s">
        <v>23</v>
      </c>
      <c r="P73" s="54">
        <v>0.0933225217764691</v>
      </c>
    </row>
    <row r="74" spans="1:16">
      <c r="A74" t="s">
        <v>299</v>
      </c>
      <c r="B74" t="s">
        <v>300</v>
      </c>
      <c r="C74" t="s">
        <v>301</v>
      </c>
      <c r="D74" t="s">
        <v>19</v>
      </c>
      <c r="E74" t="s">
        <v>129</v>
      </c>
      <c r="F74" t="s">
        <v>302</v>
      </c>
      <c r="G74">
        <v>2</v>
      </c>
      <c r="H74">
        <v>8402.96</v>
      </c>
      <c r="I74">
        <v>0.2</v>
      </c>
      <c r="J74">
        <v>13444.74</v>
      </c>
      <c r="K74">
        <v>2139.16</v>
      </c>
      <c r="L74">
        <v>4.1</v>
      </c>
      <c r="M74" s="53">
        <v>45643</v>
      </c>
      <c r="N74" t="s">
        <v>22</v>
      </c>
      <c r="O74" t="s">
        <v>44</v>
      </c>
      <c r="P74" s="54">
        <v>0.159107576643356</v>
      </c>
    </row>
    <row r="75" spans="1:16">
      <c r="A75" t="s">
        <v>303</v>
      </c>
      <c r="B75" t="s">
        <v>304</v>
      </c>
      <c r="C75" t="s">
        <v>305</v>
      </c>
      <c r="D75" t="s">
        <v>53</v>
      </c>
      <c r="E75" t="s">
        <v>95</v>
      </c>
      <c r="F75" t="s">
        <v>306</v>
      </c>
      <c r="G75">
        <v>2</v>
      </c>
      <c r="H75">
        <v>17676.62</v>
      </c>
      <c r="I75">
        <v>0.1</v>
      </c>
      <c r="J75">
        <v>31817.92</v>
      </c>
      <c r="K75">
        <v>4953.09</v>
      </c>
      <c r="L75">
        <v>2.8</v>
      </c>
      <c r="M75" s="53">
        <v>45170</v>
      </c>
      <c r="N75" t="s">
        <v>43</v>
      </c>
      <c r="O75" t="s">
        <v>73</v>
      </c>
      <c r="P75" s="54">
        <v>0.155669823797407</v>
      </c>
    </row>
    <row r="76" spans="1:16">
      <c r="A76" t="s">
        <v>307</v>
      </c>
      <c r="B76" t="s">
        <v>308</v>
      </c>
      <c r="C76" t="s">
        <v>309</v>
      </c>
      <c r="D76" t="s">
        <v>19</v>
      </c>
      <c r="E76" t="s">
        <v>35</v>
      </c>
      <c r="F76" t="s">
        <v>245</v>
      </c>
      <c r="G76">
        <v>2</v>
      </c>
      <c r="H76">
        <v>15657.59</v>
      </c>
      <c r="I76">
        <v>0</v>
      </c>
      <c r="J76">
        <v>31315.18</v>
      </c>
      <c r="K76">
        <v>6683.81</v>
      </c>
      <c r="L76">
        <v>4.8</v>
      </c>
      <c r="M76" s="53">
        <v>45113</v>
      </c>
      <c r="N76" t="s">
        <v>30</v>
      </c>
      <c r="O76" t="s">
        <v>73</v>
      </c>
      <c r="P76" s="54">
        <v>0.213436742180629</v>
      </c>
    </row>
    <row r="77" spans="1:16">
      <c r="A77" t="s">
        <v>310</v>
      </c>
      <c r="B77" t="s">
        <v>311</v>
      </c>
      <c r="C77" t="s">
        <v>312</v>
      </c>
      <c r="D77" t="s">
        <v>40</v>
      </c>
      <c r="E77" t="s">
        <v>174</v>
      </c>
      <c r="F77" t="s">
        <v>313</v>
      </c>
      <c r="G77">
        <v>3</v>
      </c>
      <c r="H77">
        <v>4175.01</v>
      </c>
      <c r="I77">
        <v>0.05</v>
      </c>
      <c r="J77">
        <v>11898.78</v>
      </c>
      <c r="K77">
        <v>1448.36</v>
      </c>
      <c r="L77">
        <v>3.4</v>
      </c>
      <c r="M77" s="53">
        <v>45047</v>
      </c>
      <c r="N77" t="s">
        <v>56</v>
      </c>
      <c r="O77" t="s">
        <v>23</v>
      </c>
      <c r="P77" s="54">
        <v>0.121723403575829</v>
      </c>
    </row>
    <row r="78" spans="1:16">
      <c r="A78" t="s">
        <v>314</v>
      </c>
      <c r="B78" t="s">
        <v>315</v>
      </c>
      <c r="C78" t="s">
        <v>316</v>
      </c>
      <c r="D78" t="s">
        <v>27</v>
      </c>
      <c r="E78" t="s">
        <v>28</v>
      </c>
      <c r="F78" t="s">
        <v>192</v>
      </c>
      <c r="G78">
        <v>1</v>
      </c>
      <c r="H78">
        <v>6993.26</v>
      </c>
      <c r="I78">
        <v>0.15</v>
      </c>
      <c r="J78">
        <v>5944.27</v>
      </c>
      <c r="K78">
        <v>1014.34</v>
      </c>
      <c r="L78">
        <v>1.1</v>
      </c>
      <c r="M78" s="53">
        <v>45218</v>
      </c>
      <c r="N78" t="s">
        <v>22</v>
      </c>
      <c r="O78" t="s">
        <v>23</v>
      </c>
      <c r="P78" s="54">
        <v>0.170641643128593</v>
      </c>
    </row>
    <row r="79" spans="1:16">
      <c r="A79" t="s">
        <v>317</v>
      </c>
      <c r="B79" t="s">
        <v>318</v>
      </c>
      <c r="C79" t="s">
        <v>319</v>
      </c>
      <c r="D79" t="s">
        <v>19</v>
      </c>
      <c r="E79" t="s">
        <v>86</v>
      </c>
      <c r="F79" t="s">
        <v>320</v>
      </c>
      <c r="G79">
        <v>4</v>
      </c>
      <c r="H79">
        <v>7224.57</v>
      </c>
      <c r="I79">
        <v>0.15</v>
      </c>
      <c r="J79">
        <v>24563.54</v>
      </c>
      <c r="K79">
        <v>1949.79</v>
      </c>
      <c r="L79">
        <v>4.6</v>
      </c>
      <c r="M79" s="53">
        <v>45384</v>
      </c>
      <c r="N79" t="s">
        <v>56</v>
      </c>
      <c r="O79" t="s">
        <v>57</v>
      </c>
      <c r="P79" s="54">
        <v>0.0793774024428075</v>
      </c>
    </row>
    <row r="80" spans="1:16">
      <c r="A80" t="s">
        <v>321</v>
      </c>
      <c r="B80" t="s">
        <v>322</v>
      </c>
      <c r="C80" t="s">
        <v>323</v>
      </c>
      <c r="D80" t="s">
        <v>53</v>
      </c>
      <c r="E80" t="s">
        <v>100</v>
      </c>
      <c r="F80" t="s">
        <v>101</v>
      </c>
      <c r="G80">
        <v>2</v>
      </c>
      <c r="H80">
        <v>18996.58</v>
      </c>
      <c r="I80">
        <v>0</v>
      </c>
      <c r="J80">
        <v>37993.16</v>
      </c>
      <c r="K80">
        <v>7354.63</v>
      </c>
      <c r="L80">
        <v>5</v>
      </c>
      <c r="M80" s="53">
        <v>45609</v>
      </c>
      <c r="N80" t="s">
        <v>43</v>
      </c>
      <c r="O80" t="s">
        <v>44</v>
      </c>
      <c r="P80" s="54">
        <v>0.193577738729813</v>
      </c>
    </row>
    <row r="81" spans="1:16">
      <c r="A81" t="s">
        <v>324</v>
      </c>
      <c r="B81" t="s">
        <v>325</v>
      </c>
      <c r="C81" t="s">
        <v>326</v>
      </c>
      <c r="D81" t="s">
        <v>19</v>
      </c>
      <c r="E81" t="s">
        <v>35</v>
      </c>
      <c r="F81" t="s">
        <v>121</v>
      </c>
      <c r="G81">
        <v>3</v>
      </c>
      <c r="H81">
        <v>12749.63</v>
      </c>
      <c r="I81">
        <v>0.05</v>
      </c>
      <c r="J81">
        <v>36336.45</v>
      </c>
      <c r="K81">
        <v>5562.78</v>
      </c>
      <c r="L81">
        <v>4</v>
      </c>
      <c r="M81" s="53">
        <v>44970</v>
      </c>
      <c r="N81" t="s">
        <v>30</v>
      </c>
      <c r="O81" t="s">
        <v>57</v>
      </c>
      <c r="P81" s="54">
        <v>0.153090904587542</v>
      </c>
    </row>
    <row r="82" spans="1:16">
      <c r="A82" t="s">
        <v>327</v>
      </c>
      <c r="B82" t="s">
        <v>328</v>
      </c>
      <c r="C82" t="s">
        <v>329</v>
      </c>
      <c r="D82" t="s">
        <v>19</v>
      </c>
      <c r="E82" t="s">
        <v>129</v>
      </c>
      <c r="F82" t="s">
        <v>320</v>
      </c>
      <c r="G82">
        <v>2</v>
      </c>
      <c r="H82">
        <v>9236.1</v>
      </c>
      <c r="I82">
        <v>0.05</v>
      </c>
      <c r="J82">
        <v>17548.59</v>
      </c>
      <c r="K82">
        <v>3487.95</v>
      </c>
      <c r="L82">
        <v>4.5</v>
      </c>
      <c r="M82" s="53">
        <v>45604</v>
      </c>
      <c r="N82" t="s">
        <v>56</v>
      </c>
      <c r="O82" t="s">
        <v>23</v>
      </c>
      <c r="P82" s="54">
        <v>0.198759558460252</v>
      </c>
    </row>
    <row r="83" spans="1:16">
      <c r="A83" t="s">
        <v>330</v>
      </c>
      <c r="B83" t="s">
        <v>331</v>
      </c>
      <c r="C83" t="s">
        <v>332</v>
      </c>
      <c r="D83" t="s">
        <v>53</v>
      </c>
      <c r="E83" t="s">
        <v>71</v>
      </c>
      <c r="F83" t="s">
        <v>225</v>
      </c>
      <c r="G83">
        <v>4</v>
      </c>
      <c r="H83">
        <v>14329.72</v>
      </c>
      <c r="I83">
        <v>0</v>
      </c>
      <c r="J83">
        <v>57318.88</v>
      </c>
      <c r="K83">
        <v>11766.72</v>
      </c>
      <c r="L83">
        <v>1.2</v>
      </c>
      <c r="M83" s="53">
        <v>45488</v>
      </c>
      <c r="N83" t="s">
        <v>56</v>
      </c>
      <c r="O83" t="s">
        <v>23</v>
      </c>
      <c r="P83" s="54">
        <v>0.20528523934871</v>
      </c>
    </row>
    <row r="84" spans="1:16">
      <c r="A84" t="s">
        <v>333</v>
      </c>
      <c r="B84" t="s">
        <v>334</v>
      </c>
      <c r="C84" t="s">
        <v>335</v>
      </c>
      <c r="D84" t="s">
        <v>19</v>
      </c>
      <c r="E84" t="s">
        <v>20</v>
      </c>
      <c r="F84" t="s">
        <v>134</v>
      </c>
      <c r="G84">
        <v>2</v>
      </c>
      <c r="H84">
        <v>6085.92</v>
      </c>
      <c r="I84">
        <v>0.1</v>
      </c>
      <c r="J84">
        <v>10954.66</v>
      </c>
      <c r="K84">
        <v>1791.89</v>
      </c>
      <c r="L84">
        <v>3.4</v>
      </c>
      <c r="M84" s="53">
        <v>45294</v>
      </c>
      <c r="N84" t="s">
        <v>30</v>
      </c>
      <c r="O84" t="s">
        <v>57</v>
      </c>
      <c r="P84" s="54">
        <v>0.163573310353767</v>
      </c>
    </row>
    <row r="85" spans="1:16">
      <c r="A85" t="s">
        <v>336</v>
      </c>
      <c r="B85" t="s">
        <v>337</v>
      </c>
      <c r="C85" t="s">
        <v>338</v>
      </c>
      <c r="D85" t="s">
        <v>27</v>
      </c>
      <c r="E85" t="s">
        <v>48</v>
      </c>
      <c r="F85" t="s">
        <v>49</v>
      </c>
      <c r="G85">
        <v>2</v>
      </c>
      <c r="H85">
        <v>3285.11</v>
      </c>
      <c r="I85">
        <v>0.1</v>
      </c>
      <c r="J85">
        <v>5913.2</v>
      </c>
      <c r="K85">
        <v>494.12</v>
      </c>
      <c r="L85">
        <v>4.2</v>
      </c>
      <c r="M85" s="53">
        <v>45047</v>
      </c>
      <c r="N85" t="s">
        <v>30</v>
      </c>
      <c r="O85" t="s">
        <v>73</v>
      </c>
      <c r="P85" s="54">
        <v>0.0835621998241223</v>
      </c>
    </row>
    <row r="86" spans="1:16">
      <c r="A86" t="s">
        <v>339</v>
      </c>
      <c r="B86" t="s">
        <v>340</v>
      </c>
      <c r="C86" t="s">
        <v>341</v>
      </c>
      <c r="D86" t="s">
        <v>53</v>
      </c>
      <c r="E86" t="s">
        <v>54</v>
      </c>
      <c r="F86" t="s">
        <v>249</v>
      </c>
      <c r="G86">
        <v>2</v>
      </c>
      <c r="H86">
        <v>6400.78</v>
      </c>
      <c r="I86">
        <v>0.1</v>
      </c>
      <c r="J86">
        <v>11521.4</v>
      </c>
      <c r="K86">
        <v>2679.56</v>
      </c>
      <c r="L86">
        <v>4.6</v>
      </c>
      <c r="M86" s="53">
        <v>45491</v>
      </c>
      <c r="N86" t="s">
        <v>30</v>
      </c>
      <c r="O86" t="s">
        <v>44</v>
      </c>
      <c r="P86" s="54">
        <v>0.232572430433801</v>
      </c>
    </row>
    <row r="87" spans="1:16">
      <c r="A87" t="s">
        <v>342</v>
      </c>
      <c r="B87" t="s">
        <v>343</v>
      </c>
      <c r="C87" t="s">
        <v>344</v>
      </c>
      <c r="D87" t="s">
        <v>40</v>
      </c>
      <c r="E87" t="s">
        <v>262</v>
      </c>
      <c r="F87" t="s">
        <v>345</v>
      </c>
      <c r="G87">
        <v>1</v>
      </c>
      <c r="H87">
        <v>2062.53</v>
      </c>
      <c r="I87">
        <v>0</v>
      </c>
      <c r="J87">
        <v>2062.53</v>
      </c>
      <c r="K87">
        <v>133.11</v>
      </c>
      <c r="L87">
        <v>3.1</v>
      </c>
      <c r="M87" s="53">
        <v>45503</v>
      </c>
      <c r="N87" t="s">
        <v>43</v>
      </c>
      <c r="O87" t="s">
        <v>31</v>
      </c>
      <c r="P87" s="54">
        <v>0.0645372430946459</v>
      </c>
    </row>
    <row r="88" spans="1:16">
      <c r="A88" t="s">
        <v>346</v>
      </c>
      <c r="B88" t="s">
        <v>347</v>
      </c>
      <c r="C88" t="s">
        <v>348</v>
      </c>
      <c r="D88" t="s">
        <v>40</v>
      </c>
      <c r="E88" t="s">
        <v>262</v>
      </c>
      <c r="F88" t="s">
        <v>345</v>
      </c>
      <c r="G88">
        <v>5</v>
      </c>
      <c r="H88">
        <v>6306.52</v>
      </c>
      <c r="I88">
        <v>0.2</v>
      </c>
      <c r="J88">
        <v>25226.08</v>
      </c>
      <c r="K88">
        <v>2737.31</v>
      </c>
      <c r="L88">
        <v>3.7</v>
      </c>
      <c r="M88" s="53">
        <v>45639</v>
      </c>
      <c r="N88" t="s">
        <v>56</v>
      </c>
      <c r="O88" t="s">
        <v>44</v>
      </c>
      <c r="P88" s="54">
        <v>0.108511112309166</v>
      </c>
    </row>
    <row r="89" spans="1:16">
      <c r="A89" t="s">
        <v>349</v>
      </c>
      <c r="B89" t="s">
        <v>350</v>
      </c>
      <c r="C89" t="s">
        <v>351</v>
      </c>
      <c r="D89" t="s">
        <v>19</v>
      </c>
      <c r="E89" t="s">
        <v>129</v>
      </c>
      <c r="F89" t="s">
        <v>167</v>
      </c>
      <c r="G89">
        <v>3</v>
      </c>
      <c r="H89">
        <v>16531.09</v>
      </c>
      <c r="I89">
        <v>0.15</v>
      </c>
      <c r="J89">
        <v>42154.28</v>
      </c>
      <c r="K89">
        <v>4954.28</v>
      </c>
      <c r="L89">
        <v>1.5</v>
      </c>
      <c r="M89" s="53">
        <v>45497</v>
      </c>
      <c r="N89" t="s">
        <v>43</v>
      </c>
      <c r="O89" t="s">
        <v>73</v>
      </c>
      <c r="P89" s="54">
        <v>0.117527330558131</v>
      </c>
    </row>
    <row r="90" spans="1:16">
      <c r="A90" t="s">
        <v>352</v>
      </c>
      <c r="B90" t="s">
        <v>353</v>
      </c>
      <c r="C90" t="s">
        <v>354</v>
      </c>
      <c r="D90" t="s">
        <v>19</v>
      </c>
      <c r="E90" t="s">
        <v>129</v>
      </c>
      <c r="F90" t="s">
        <v>320</v>
      </c>
      <c r="G90">
        <v>5</v>
      </c>
      <c r="H90">
        <v>18325.83</v>
      </c>
      <c r="I90">
        <v>0</v>
      </c>
      <c r="J90">
        <v>91629.15</v>
      </c>
      <c r="K90">
        <v>18846.1</v>
      </c>
      <c r="L90">
        <v>3.3</v>
      </c>
      <c r="M90" s="53">
        <v>45081</v>
      </c>
      <c r="N90" t="s">
        <v>30</v>
      </c>
      <c r="O90" t="s">
        <v>23</v>
      </c>
      <c r="P90" s="54">
        <v>0.205677996576417</v>
      </c>
    </row>
    <row r="91" spans="1:16">
      <c r="A91" t="s">
        <v>355</v>
      </c>
      <c r="B91" t="s">
        <v>356</v>
      </c>
      <c r="C91" t="s">
        <v>357</v>
      </c>
      <c r="D91" t="s">
        <v>40</v>
      </c>
      <c r="E91" t="s">
        <v>81</v>
      </c>
      <c r="F91" t="s">
        <v>358</v>
      </c>
      <c r="G91">
        <v>3</v>
      </c>
      <c r="H91">
        <v>6529.57</v>
      </c>
      <c r="I91">
        <v>0.2</v>
      </c>
      <c r="J91">
        <v>15670.97</v>
      </c>
      <c r="K91">
        <v>1602.77</v>
      </c>
      <c r="L91">
        <v>3.2</v>
      </c>
      <c r="M91" s="53">
        <v>45260</v>
      </c>
      <c r="N91" t="s">
        <v>56</v>
      </c>
      <c r="O91" t="s">
        <v>31</v>
      </c>
      <c r="P91" s="54">
        <v>0.102276374723454</v>
      </c>
    </row>
    <row r="92" spans="1:16">
      <c r="A92" t="s">
        <v>359</v>
      </c>
      <c r="B92" t="s">
        <v>360</v>
      </c>
      <c r="C92" t="s">
        <v>361</v>
      </c>
      <c r="D92" t="s">
        <v>27</v>
      </c>
      <c r="E92" t="s">
        <v>233</v>
      </c>
      <c r="F92" t="s">
        <v>362</v>
      </c>
      <c r="G92">
        <v>2</v>
      </c>
      <c r="H92">
        <v>12301.58</v>
      </c>
      <c r="I92">
        <v>0.05</v>
      </c>
      <c r="J92">
        <v>23373</v>
      </c>
      <c r="K92">
        <v>5731.67</v>
      </c>
      <c r="L92">
        <v>1.4</v>
      </c>
      <c r="M92" s="53">
        <v>45609</v>
      </c>
      <c r="N92" t="s">
        <v>22</v>
      </c>
      <c r="O92" t="s">
        <v>23</v>
      </c>
      <c r="P92" s="54">
        <v>0.245226115603474</v>
      </c>
    </row>
    <row r="93" spans="1:16">
      <c r="A93" t="s">
        <v>363</v>
      </c>
      <c r="B93" t="s">
        <v>127</v>
      </c>
      <c r="C93" t="s">
        <v>364</v>
      </c>
      <c r="D93" t="s">
        <v>40</v>
      </c>
      <c r="E93" t="s">
        <v>81</v>
      </c>
      <c r="F93" t="s">
        <v>241</v>
      </c>
      <c r="G93">
        <v>5</v>
      </c>
      <c r="H93">
        <v>14449.68</v>
      </c>
      <c r="I93">
        <v>0.15</v>
      </c>
      <c r="J93">
        <v>61411.14</v>
      </c>
      <c r="K93">
        <v>3859.02</v>
      </c>
      <c r="L93">
        <v>2.9</v>
      </c>
      <c r="M93" s="53">
        <v>45066</v>
      </c>
      <c r="N93" t="s">
        <v>56</v>
      </c>
      <c r="O93" t="s">
        <v>44</v>
      </c>
      <c r="P93" s="54">
        <v>0.0628390875010625</v>
      </c>
    </row>
    <row r="94" spans="1:16">
      <c r="A94" t="s">
        <v>365</v>
      </c>
      <c r="B94" t="s">
        <v>366</v>
      </c>
      <c r="C94" t="s">
        <v>367</v>
      </c>
      <c r="D94" t="s">
        <v>53</v>
      </c>
      <c r="E94" t="s">
        <v>54</v>
      </c>
      <c r="F94" t="s">
        <v>249</v>
      </c>
      <c r="G94">
        <v>4</v>
      </c>
      <c r="H94">
        <v>16338.36</v>
      </c>
      <c r="I94">
        <v>0</v>
      </c>
      <c r="J94">
        <v>65353.44</v>
      </c>
      <c r="K94">
        <v>14578.97</v>
      </c>
      <c r="L94">
        <v>3.4</v>
      </c>
      <c r="M94" s="53">
        <v>45505</v>
      </c>
      <c r="N94" t="s">
        <v>30</v>
      </c>
      <c r="O94" t="s">
        <v>57</v>
      </c>
      <c r="P94" s="54">
        <v>0.223078846346879</v>
      </c>
    </row>
    <row r="95" spans="1:16">
      <c r="A95" t="s">
        <v>368</v>
      </c>
      <c r="B95" t="s">
        <v>369</v>
      </c>
      <c r="C95" t="s">
        <v>370</v>
      </c>
      <c r="D95" t="s">
        <v>40</v>
      </c>
      <c r="E95" t="s">
        <v>41</v>
      </c>
      <c r="F95" t="s">
        <v>125</v>
      </c>
      <c r="G95">
        <v>3</v>
      </c>
      <c r="H95">
        <v>12252.66</v>
      </c>
      <c r="I95">
        <v>0.2</v>
      </c>
      <c r="J95">
        <v>29406.38</v>
      </c>
      <c r="K95">
        <v>6953.49</v>
      </c>
      <c r="L95">
        <v>3.1</v>
      </c>
      <c r="M95" s="53">
        <v>45329</v>
      </c>
      <c r="N95" t="s">
        <v>43</v>
      </c>
      <c r="O95" t="s">
        <v>57</v>
      </c>
      <c r="P95" s="54">
        <v>0.236461951454072</v>
      </c>
    </row>
    <row r="96" spans="1:16">
      <c r="A96" t="s">
        <v>371</v>
      </c>
      <c r="B96" t="s">
        <v>372</v>
      </c>
      <c r="C96" t="s">
        <v>373</v>
      </c>
      <c r="D96" t="s">
        <v>40</v>
      </c>
      <c r="E96" t="s">
        <v>41</v>
      </c>
      <c r="F96" t="s">
        <v>125</v>
      </c>
      <c r="G96">
        <v>4</v>
      </c>
      <c r="H96">
        <v>1313.01</v>
      </c>
      <c r="I96">
        <v>0.05</v>
      </c>
      <c r="J96">
        <v>4989.44</v>
      </c>
      <c r="K96">
        <v>257.12</v>
      </c>
      <c r="L96">
        <v>3.2</v>
      </c>
      <c r="M96" s="53">
        <v>45442</v>
      </c>
      <c r="N96" t="s">
        <v>30</v>
      </c>
      <c r="O96" t="s">
        <v>44</v>
      </c>
      <c r="P96" s="54">
        <v>0.0515328373524885</v>
      </c>
    </row>
    <row r="97" spans="1:16">
      <c r="A97" t="s">
        <v>374</v>
      </c>
      <c r="B97" t="s">
        <v>375</v>
      </c>
      <c r="C97" t="s">
        <v>376</v>
      </c>
      <c r="D97" t="s">
        <v>40</v>
      </c>
      <c r="E97" t="s">
        <v>174</v>
      </c>
      <c r="F97" t="s">
        <v>313</v>
      </c>
      <c r="G97">
        <v>2</v>
      </c>
      <c r="H97">
        <v>5117.86</v>
      </c>
      <c r="I97">
        <v>0.2</v>
      </c>
      <c r="J97">
        <v>8188.58</v>
      </c>
      <c r="K97">
        <v>1508.4</v>
      </c>
      <c r="L97">
        <v>1.9</v>
      </c>
      <c r="M97" s="53">
        <v>45509</v>
      </c>
      <c r="N97" t="s">
        <v>22</v>
      </c>
      <c r="O97" t="s">
        <v>23</v>
      </c>
      <c r="P97" s="54">
        <v>0.184207762518043</v>
      </c>
    </row>
    <row r="98" spans="1:16">
      <c r="A98" t="s">
        <v>377</v>
      </c>
      <c r="B98" t="s">
        <v>378</v>
      </c>
      <c r="C98" t="s">
        <v>379</v>
      </c>
      <c r="D98" t="s">
        <v>19</v>
      </c>
      <c r="E98" t="s">
        <v>86</v>
      </c>
      <c r="F98" t="s">
        <v>87</v>
      </c>
      <c r="G98">
        <v>3</v>
      </c>
      <c r="H98">
        <v>19207.19</v>
      </c>
      <c r="I98">
        <v>0</v>
      </c>
      <c r="J98">
        <v>57621.57</v>
      </c>
      <c r="K98">
        <v>12967.98</v>
      </c>
      <c r="L98">
        <v>4.5</v>
      </c>
      <c r="M98" s="53">
        <v>45223</v>
      </c>
      <c r="N98" t="s">
        <v>22</v>
      </c>
      <c r="O98" t="s">
        <v>57</v>
      </c>
      <c r="P98" s="54">
        <v>0.225054263533604</v>
      </c>
    </row>
    <row r="99" spans="1:16">
      <c r="A99" t="s">
        <v>380</v>
      </c>
      <c r="B99" t="s">
        <v>381</v>
      </c>
      <c r="C99" t="s">
        <v>382</v>
      </c>
      <c r="D99" t="s">
        <v>27</v>
      </c>
      <c r="E99" t="s">
        <v>28</v>
      </c>
      <c r="F99" t="s">
        <v>225</v>
      </c>
      <c r="G99">
        <v>1</v>
      </c>
      <c r="H99">
        <v>4875.24</v>
      </c>
      <c r="I99">
        <v>0.05</v>
      </c>
      <c r="J99">
        <v>4631.48</v>
      </c>
      <c r="K99">
        <v>714.14</v>
      </c>
      <c r="L99">
        <v>4.6</v>
      </c>
      <c r="M99" s="53">
        <v>45414</v>
      </c>
      <c r="N99" t="s">
        <v>22</v>
      </c>
      <c r="O99" t="s">
        <v>57</v>
      </c>
      <c r="P99" s="54">
        <v>0.154192612296717</v>
      </c>
    </row>
    <row r="100" spans="1:16">
      <c r="A100" t="s">
        <v>383</v>
      </c>
      <c r="B100" t="s">
        <v>111</v>
      </c>
      <c r="C100" t="s">
        <v>384</v>
      </c>
      <c r="D100" t="s">
        <v>40</v>
      </c>
      <c r="E100" t="s">
        <v>262</v>
      </c>
      <c r="F100" t="s">
        <v>385</v>
      </c>
      <c r="G100">
        <v>1</v>
      </c>
      <c r="H100">
        <v>4767.03</v>
      </c>
      <c r="I100">
        <v>0.15</v>
      </c>
      <c r="J100">
        <v>4051.98</v>
      </c>
      <c r="K100">
        <v>771.73</v>
      </c>
      <c r="L100">
        <v>2.6</v>
      </c>
      <c r="M100" s="53">
        <v>45395</v>
      </c>
      <c r="N100" t="s">
        <v>30</v>
      </c>
      <c r="O100" t="s">
        <v>73</v>
      </c>
      <c r="P100" s="54">
        <v>0.190457504726084</v>
      </c>
    </row>
    <row r="101" spans="1:16">
      <c r="A101" t="s">
        <v>386</v>
      </c>
      <c r="B101" t="s">
        <v>387</v>
      </c>
      <c r="C101" t="s">
        <v>388</v>
      </c>
      <c r="D101" t="s">
        <v>40</v>
      </c>
      <c r="E101" t="s">
        <v>81</v>
      </c>
      <c r="F101" t="s">
        <v>263</v>
      </c>
      <c r="G101">
        <v>3</v>
      </c>
      <c r="H101">
        <v>12886.53</v>
      </c>
      <c r="I101">
        <v>0</v>
      </c>
      <c r="J101">
        <v>38659.59</v>
      </c>
      <c r="K101">
        <v>2843.97</v>
      </c>
      <c r="L101">
        <v>2.7</v>
      </c>
      <c r="M101" s="53">
        <v>45325</v>
      </c>
      <c r="N101" t="s">
        <v>30</v>
      </c>
      <c r="O101" t="s">
        <v>73</v>
      </c>
      <c r="P101" s="54">
        <v>0.0735644118315792</v>
      </c>
    </row>
    <row r="102" spans="1:16">
      <c r="A102" t="s">
        <v>389</v>
      </c>
      <c r="B102" t="s">
        <v>378</v>
      </c>
      <c r="C102" t="s">
        <v>390</v>
      </c>
      <c r="D102" t="s">
        <v>53</v>
      </c>
      <c r="E102" t="s">
        <v>100</v>
      </c>
      <c r="F102" t="s">
        <v>229</v>
      </c>
      <c r="G102">
        <v>5</v>
      </c>
      <c r="H102">
        <v>10561.2</v>
      </c>
      <c r="I102">
        <v>0.2</v>
      </c>
      <c r="J102">
        <v>42244.8</v>
      </c>
      <c r="K102">
        <v>8835</v>
      </c>
      <c r="L102">
        <v>3.8</v>
      </c>
      <c r="M102" s="53">
        <v>45260</v>
      </c>
      <c r="N102" t="s">
        <v>43</v>
      </c>
      <c r="O102" t="s">
        <v>44</v>
      </c>
      <c r="P102" s="54">
        <v>0.209138166117487</v>
      </c>
    </row>
    <row r="103" spans="1:16">
      <c r="A103" t="s">
        <v>391</v>
      </c>
      <c r="B103" t="s">
        <v>392</v>
      </c>
      <c r="C103" t="s">
        <v>393</v>
      </c>
      <c r="D103" t="s">
        <v>53</v>
      </c>
      <c r="E103" t="s">
        <v>95</v>
      </c>
      <c r="F103" t="s">
        <v>96</v>
      </c>
      <c r="G103">
        <v>1</v>
      </c>
      <c r="H103">
        <v>1108.1</v>
      </c>
      <c r="I103">
        <v>0.1</v>
      </c>
      <c r="J103">
        <v>997.29</v>
      </c>
      <c r="K103">
        <v>175.5</v>
      </c>
      <c r="L103">
        <v>3.1</v>
      </c>
      <c r="M103" s="53">
        <v>45109</v>
      </c>
      <c r="N103" t="s">
        <v>56</v>
      </c>
      <c r="O103" t="s">
        <v>23</v>
      </c>
      <c r="P103" s="54">
        <v>0.175976897391932</v>
      </c>
    </row>
    <row r="104" spans="1:16">
      <c r="A104" t="s">
        <v>394</v>
      </c>
      <c r="B104" t="s">
        <v>395</v>
      </c>
      <c r="C104" t="s">
        <v>396</v>
      </c>
      <c r="D104" t="s">
        <v>27</v>
      </c>
      <c r="E104" t="s">
        <v>117</v>
      </c>
      <c r="F104" t="s">
        <v>225</v>
      </c>
      <c r="G104">
        <v>1</v>
      </c>
      <c r="H104">
        <v>16747.27</v>
      </c>
      <c r="I104">
        <v>0.1</v>
      </c>
      <c r="J104">
        <v>15072.54</v>
      </c>
      <c r="K104">
        <v>2379.3</v>
      </c>
      <c r="L104">
        <v>3.2</v>
      </c>
      <c r="M104" s="53">
        <v>45176</v>
      </c>
      <c r="N104" t="s">
        <v>56</v>
      </c>
      <c r="O104" t="s">
        <v>31</v>
      </c>
      <c r="P104" s="54">
        <v>0.157856605456015</v>
      </c>
    </row>
    <row r="105" spans="1:16">
      <c r="A105" t="s">
        <v>397</v>
      </c>
      <c r="B105" t="s">
        <v>398</v>
      </c>
      <c r="C105" t="s">
        <v>399</v>
      </c>
      <c r="D105" t="s">
        <v>27</v>
      </c>
      <c r="E105" t="s">
        <v>117</v>
      </c>
      <c r="F105" t="s">
        <v>118</v>
      </c>
      <c r="G105">
        <v>3</v>
      </c>
      <c r="H105">
        <v>12947.58</v>
      </c>
      <c r="I105">
        <v>0.1</v>
      </c>
      <c r="J105">
        <v>34958.47</v>
      </c>
      <c r="K105">
        <v>7287.03</v>
      </c>
      <c r="L105">
        <v>2.8</v>
      </c>
      <c r="M105" s="53">
        <v>45191</v>
      </c>
      <c r="N105" t="s">
        <v>30</v>
      </c>
      <c r="O105" t="s">
        <v>57</v>
      </c>
      <c r="P105" s="54">
        <v>0.20844819581635</v>
      </c>
    </row>
    <row r="106" spans="1:16">
      <c r="A106" t="s">
        <v>400</v>
      </c>
      <c r="B106" t="s">
        <v>401</v>
      </c>
      <c r="C106" t="s">
        <v>402</v>
      </c>
      <c r="D106" t="s">
        <v>53</v>
      </c>
      <c r="E106" t="s">
        <v>54</v>
      </c>
      <c r="F106" t="s">
        <v>249</v>
      </c>
      <c r="G106">
        <v>5</v>
      </c>
      <c r="H106">
        <v>9193.49</v>
      </c>
      <c r="I106">
        <v>0.05</v>
      </c>
      <c r="J106">
        <v>43669.08</v>
      </c>
      <c r="K106">
        <v>7600.05</v>
      </c>
      <c r="L106">
        <v>2.9</v>
      </c>
      <c r="M106" s="53">
        <v>44948</v>
      </c>
      <c r="N106" t="s">
        <v>43</v>
      </c>
      <c r="O106" t="s">
        <v>23</v>
      </c>
      <c r="P106" s="54">
        <v>0.174037328013322</v>
      </c>
    </row>
    <row r="107" spans="1:16">
      <c r="A107" t="s">
        <v>403</v>
      </c>
      <c r="B107" t="s">
        <v>404</v>
      </c>
      <c r="C107" t="s">
        <v>405</v>
      </c>
      <c r="D107" t="s">
        <v>53</v>
      </c>
      <c r="E107" t="s">
        <v>71</v>
      </c>
      <c r="F107" t="s">
        <v>406</v>
      </c>
      <c r="G107">
        <v>5</v>
      </c>
      <c r="H107">
        <v>19728.23</v>
      </c>
      <c r="I107">
        <v>0.15</v>
      </c>
      <c r="J107">
        <v>83844.98</v>
      </c>
      <c r="K107">
        <v>5687.09</v>
      </c>
      <c r="L107">
        <v>2.9</v>
      </c>
      <c r="M107" s="53">
        <v>45234</v>
      </c>
      <c r="N107" t="s">
        <v>22</v>
      </c>
      <c r="O107" t="s">
        <v>44</v>
      </c>
      <c r="P107" s="54">
        <v>0.0678286284998816</v>
      </c>
    </row>
    <row r="108" spans="1:16">
      <c r="A108" t="s">
        <v>407</v>
      </c>
      <c r="B108" t="s">
        <v>408</v>
      </c>
      <c r="C108" t="s">
        <v>409</v>
      </c>
      <c r="D108" t="s">
        <v>40</v>
      </c>
      <c r="E108" t="s">
        <v>174</v>
      </c>
      <c r="F108" t="s">
        <v>199</v>
      </c>
      <c r="G108">
        <v>3</v>
      </c>
      <c r="H108">
        <v>16804.75</v>
      </c>
      <c r="I108">
        <v>0.15</v>
      </c>
      <c r="J108">
        <v>42852.11</v>
      </c>
      <c r="K108">
        <v>5073.84</v>
      </c>
      <c r="L108">
        <v>3.6</v>
      </c>
      <c r="M108" s="53">
        <v>45372</v>
      </c>
      <c r="N108" t="s">
        <v>56</v>
      </c>
      <c r="O108" t="s">
        <v>44</v>
      </c>
      <c r="P108" s="54">
        <v>0.118403504518214</v>
      </c>
    </row>
    <row r="109" spans="1:16">
      <c r="A109" t="s">
        <v>410</v>
      </c>
      <c r="B109" t="s">
        <v>411</v>
      </c>
      <c r="C109" t="s">
        <v>412</v>
      </c>
      <c r="D109" t="s">
        <v>19</v>
      </c>
      <c r="E109" t="s">
        <v>35</v>
      </c>
      <c r="F109" t="s">
        <v>36</v>
      </c>
      <c r="G109">
        <v>3</v>
      </c>
      <c r="H109">
        <v>384.6</v>
      </c>
      <c r="I109">
        <v>0</v>
      </c>
      <c r="J109">
        <v>1153.8</v>
      </c>
      <c r="K109">
        <v>117.17</v>
      </c>
      <c r="L109">
        <v>2.8</v>
      </c>
      <c r="M109" s="53">
        <v>45410</v>
      </c>
      <c r="N109" t="s">
        <v>56</v>
      </c>
      <c r="O109" t="s">
        <v>73</v>
      </c>
      <c r="P109" s="54">
        <v>0.101551395389149</v>
      </c>
    </row>
    <row r="110" spans="1:16">
      <c r="A110" t="s">
        <v>413</v>
      </c>
      <c r="B110" t="s">
        <v>414</v>
      </c>
      <c r="C110" t="s">
        <v>415</v>
      </c>
      <c r="D110" t="s">
        <v>19</v>
      </c>
      <c r="E110" t="s">
        <v>35</v>
      </c>
      <c r="F110" t="s">
        <v>36</v>
      </c>
      <c r="G110">
        <v>1</v>
      </c>
      <c r="H110">
        <v>4754.98</v>
      </c>
      <c r="I110">
        <v>0</v>
      </c>
      <c r="J110">
        <v>4754.98</v>
      </c>
      <c r="K110">
        <v>576.42</v>
      </c>
      <c r="L110">
        <v>1.8</v>
      </c>
      <c r="M110" s="53">
        <v>45108</v>
      </c>
      <c r="N110" t="s">
        <v>56</v>
      </c>
      <c r="O110" t="s">
        <v>23</v>
      </c>
      <c r="P110" s="54">
        <v>0.121224484645572</v>
      </c>
    </row>
    <row r="111" spans="1:16">
      <c r="A111" t="s">
        <v>416</v>
      </c>
      <c r="B111" t="s">
        <v>417</v>
      </c>
      <c r="C111" t="s">
        <v>418</v>
      </c>
      <c r="D111" t="s">
        <v>27</v>
      </c>
      <c r="E111" t="s">
        <v>117</v>
      </c>
      <c r="F111" t="s">
        <v>192</v>
      </c>
      <c r="G111">
        <v>4</v>
      </c>
      <c r="H111">
        <v>18338.6</v>
      </c>
      <c r="I111">
        <v>0</v>
      </c>
      <c r="J111">
        <v>73354.4</v>
      </c>
      <c r="K111">
        <v>7761.16</v>
      </c>
      <c r="L111">
        <v>1.7</v>
      </c>
      <c r="M111" s="53">
        <v>45531</v>
      </c>
      <c r="N111" t="s">
        <v>43</v>
      </c>
      <c r="O111" t="s">
        <v>73</v>
      </c>
      <c r="P111" s="54">
        <v>0.10580360550969</v>
      </c>
    </row>
    <row r="112" spans="1:16">
      <c r="A112" t="s">
        <v>419</v>
      </c>
      <c r="B112" t="s">
        <v>420</v>
      </c>
      <c r="C112" t="s">
        <v>421</v>
      </c>
      <c r="D112" t="s">
        <v>40</v>
      </c>
      <c r="E112" t="s">
        <v>174</v>
      </c>
      <c r="F112" t="s">
        <v>175</v>
      </c>
      <c r="G112">
        <v>2</v>
      </c>
      <c r="H112">
        <v>4056.65</v>
      </c>
      <c r="I112">
        <v>0</v>
      </c>
      <c r="J112">
        <v>8113.3</v>
      </c>
      <c r="K112">
        <v>1049.78</v>
      </c>
      <c r="L112">
        <v>2.9</v>
      </c>
      <c r="M112" s="53">
        <v>45514</v>
      </c>
      <c r="N112" t="s">
        <v>43</v>
      </c>
      <c r="O112" t="s">
        <v>44</v>
      </c>
      <c r="P112" s="54">
        <v>0.129390013927748</v>
      </c>
    </row>
    <row r="113" spans="1:16">
      <c r="A113" t="s">
        <v>422</v>
      </c>
      <c r="B113" t="s">
        <v>423</v>
      </c>
      <c r="C113" t="s">
        <v>424</v>
      </c>
      <c r="D113" t="s">
        <v>19</v>
      </c>
      <c r="E113" t="s">
        <v>20</v>
      </c>
      <c r="F113" t="s">
        <v>121</v>
      </c>
      <c r="G113">
        <v>2</v>
      </c>
      <c r="H113">
        <v>11577</v>
      </c>
      <c r="I113">
        <v>0.2</v>
      </c>
      <c r="J113">
        <v>18523.2</v>
      </c>
      <c r="K113">
        <v>1248.39</v>
      </c>
      <c r="L113">
        <v>2.8</v>
      </c>
      <c r="M113" s="53">
        <v>45019</v>
      </c>
      <c r="N113" t="s">
        <v>22</v>
      </c>
      <c r="O113" t="s">
        <v>23</v>
      </c>
      <c r="P113" s="54">
        <v>0.0673960222855662</v>
      </c>
    </row>
    <row r="114" spans="1:16">
      <c r="A114" t="s">
        <v>425</v>
      </c>
      <c r="B114" t="s">
        <v>426</v>
      </c>
      <c r="C114" t="s">
        <v>427</v>
      </c>
      <c r="D114" t="s">
        <v>19</v>
      </c>
      <c r="E114" t="s">
        <v>20</v>
      </c>
      <c r="F114" t="s">
        <v>121</v>
      </c>
      <c r="G114">
        <v>3</v>
      </c>
      <c r="H114">
        <v>12051.35</v>
      </c>
      <c r="I114">
        <v>0.15</v>
      </c>
      <c r="J114">
        <v>30730.94</v>
      </c>
      <c r="K114">
        <v>7338.45</v>
      </c>
      <c r="L114">
        <v>3.3</v>
      </c>
      <c r="M114" s="53">
        <v>45362</v>
      </c>
      <c r="N114" t="s">
        <v>22</v>
      </c>
      <c r="O114" t="s">
        <v>73</v>
      </c>
      <c r="P114" s="54">
        <v>0.238796795672374</v>
      </c>
    </row>
    <row r="115" spans="1:16">
      <c r="A115" t="s">
        <v>428</v>
      </c>
      <c r="B115" t="s">
        <v>429</v>
      </c>
      <c r="C115" t="s">
        <v>430</v>
      </c>
      <c r="D115" t="s">
        <v>53</v>
      </c>
      <c r="E115" t="s">
        <v>71</v>
      </c>
      <c r="F115" t="s">
        <v>406</v>
      </c>
      <c r="G115">
        <v>5</v>
      </c>
      <c r="H115">
        <v>14857.11</v>
      </c>
      <c r="I115">
        <v>0.2</v>
      </c>
      <c r="J115">
        <v>59428.44</v>
      </c>
      <c r="K115">
        <v>14708.28</v>
      </c>
      <c r="L115">
        <v>4.6</v>
      </c>
      <c r="M115" s="53">
        <v>45016</v>
      </c>
      <c r="N115" t="s">
        <v>30</v>
      </c>
      <c r="O115" t="s">
        <v>73</v>
      </c>
      <c r="P115" s="54">
        <v>0.247495643499981</v>
      </c>
    </row>
    <row r="116" spans="1:16">
      <c r="A116" t="s">
        <v>431</v>
      </c>
      <c r="B116" t="s">
        <v>432</v>
      </c>
      <c r="C116" t="s">
        <v>433</v>
      </c>
      <c r="D116" t="s">
        <v>40</v>
      </c>
      <c r="E116" t="s">
        <v>262</v>
      </c>
      <c r="F116" t="s">
        <v>345</v>
      </c>
      <c r="G116">
        <v>2</v>
      </c>
      <c r="H116">
        <v>5022.5</v>
      </c>
      <c r="I116">
        <v>0.2</v>
      </c>
      <c r="J116">
        <v>8036</v>
      </c>
      <c r="K116">
        <v>1990.66</v>
      </c>
      <c r="L116">
        <v>4.4</v>
      </c>
      <c r="M116" s="53">
        <v>45205</v>
      </c>
      <c r="N116" t="s">
        <v>43</v>
      </c>
      <c r="O116" t="s">
        <v>31</v>
      </c>
      <c r="P116" s="54">
        <v>0.247717770034843</v>
      </c>
    </row>
    <row r="117" spans="1:16">
      <c r="A117" t="s">
        <v>434</v>
      </c>
      <c r="B117" t="s">
        <v>435</v>
      </c>
      <c r="C117" t="s">
        <v>436</v>
      </c>
      <c r="D117" t="s">
        <v>19</v>
      </c>
      <c r="E117" t="s">
        <v>86</v>
      </c>
      <c r="F117" t="s">
        <v>113</v>
      </c>
      <c r="G117">
        <v>2</v>
      </c>
      <c r="H117">
        <v>17848.43</v>
      </c>
      <c r="I117">
        <v>0</v>
      </c>
      <c r="J117">
        <v>35696.86</v>
      </c>
      <c r="K117">
        <v>7697.42</v>
      </c>
      <c r="L117">
        <v>3.5</v>
      </c>
      <c r="M117" s="53">
        <v>45544</v>
      </c>
      <c r="N117" t="s">
        <v>43</v>
      </c>
      <c r="O117" t="s">
        <v>57</v>
      </c>
      <c r="P117" s="54">
        <v>0.215632971639522</v>
      </c>
    </row>
    <row r="118" spans="1:16">
      <c r="A118" t="s">
        <v>437</v>
      </c>
      <c r="B118" t="s">
        <v>438</v>
      </c>
      <c r="C118" t="s">
        <v>439</v>
      </c>
      <c r="D118" t="s">
        <v>27</v>
      </c>
      <c r="E118" t="s">
        <v>28</v>
      </c>
      <c r="F118" t="s">
        <v>105</v>
      </c>
      <c r="G118">
        <v>3</v>
      </c>
      <c r="H118">
        <v>16912.82</v>
      </c>
      <c r="I118">
        <v>0.2</v>
      </c>
      <c r="J118">
        <v>40590.77</v>
      </c>
      <c r="K118">
        <v>2338.17</v>
      </c>
      <c r="L118">
        <v>4.4</v>
      </c>
      <c r="M118" s="53">
        <v>45185</v>
      </c>
      <c r="N118" t="s">
        <v>56</v>
      </c>
      <c r="O118" t="s">
        <v>44</v>
      </c>
      <c r="P118" s="54">
        <v>0.0576034896603341</v>
      </c>
    </row>
    <row r="119" spans="1:16">
      <c r="A119" t="s">
        <v>440</v>
      </c>
      <c r="B119" t="s">
        <v>162</v>
      </c>
      <c r="C119" t="s">
        <v>441</v>
      </c>
      <c r="D119" t="s">
        <v>27</v>
      </c>
      <c r="E119" t="s">
        <v>28</v>
      </c>
      <c r="F119" t="s">
        <v>192</v>
      </c>
      <c r="G119">
        <v>3</v>
      </c>
      <c r="H119">
        <v>10425.26</v>
      </c>
      <c r="I119">
        <v>0.15</v>
      </c>
      <c r="J119">
        <v>26584.41</v>
      </c>
      <c r="K119">
        <v>6582.38</v>
      </c>
      <c r="L119">
        <v>1.6</v>
      </c>
      <c r="M119" s="53">
        <v>45525</v>
      </c>
      <c r="N119" t="s">
        <v>56</v>
      </c>
      <c r="O119" t="s">
        <v>57</v>
      </c>
      <c r="P119" s="54">
        <v>0.247603012442255</v>
      </c>
    </row>
    <row r="120" spans="1:16">
      <c r="A120" t="s">
        <v>442</v>
      </c>
      <c r="B120" t="s">
        <v>443</v>
      </c>
      <c r="C120" t="s">
        <v>444</v>
      </c>
      <c r="D120" t="s">
        <v>40</v>
      </c>
      <c r="E120" t="s">
        <v>262</v>
      </c>
      <c r="F120" t="s">
        <v>345</v>
      </c>
      <c r="G120">
        <v>4</v>
      </c>
      <c r="H120">
        <v>8676.05</v>
      </c>
      <c r="I120">
        <v>0</v>
      </c>
      <c r="J120">
        <v>34704.2</v>
      </c>
      <c r="K120">
        <v>3031.54</v>
      </c>
      <c r="L120">
        <v>2.2</v>
      </c>
      <c r="M120" s="53">
        <v>45126</v>
      </c>
      <c r="N120" t="s">
        <v>22</v>
      </c>
      <c r="O120" t="s">
        <v>23</v>
      </c>
      <c r="P120" s="54">
        <v>0.087353692060327</v>
      </c>
    </row>
    <row r="121" spans="1:16">
      <c r="A121" t="s">
        <v>445</v>
      </c>
      <c r="B121" t="s">
        <v>446</v>
      </c>
      <c r="C121" t="s">
        <v>447</v>
      </c>
      <c r="D121" t="s">
        <v>27</v>
      </c>
      <c r="E121" t="s">
        <v>117</v>
      </c>
      <c r="F121" t="s">
        <v>118</v>
      </c>
      <c r="G121">
        <v>3</v>
      </c>
      <c r="H121">
        <v>4363.55</v>
      </c>
      <c r="I121">
        <v>0.1</v>
      </c>
      <c r="J121">
        <v>11781.59</v>
      </c>
      <c r="K121">
        <v>1392.03</v>
      </c>
      <c r="L121">
        <v>3</v>
      </c>
      <c r="M121" s="53">
        <v>44950</v>
      </c>
      <c r="N121" t="s">
        <v>30</v>
      </c>
      <c r="O121" t="s">
        <v>57</v>
      </c>
      <c r="P121" s="54">
        <v>0.118152982746811</v>
      </c>
    </row>
    <row r="122" spans="1:16">
      <c r="A122" t="s">
        <v>448</v>
      </c>
      <c r="B122" t="s">
        <v>449</v>
      </c>
      <c r="C122" t="s">
        <v>450</v>
      </c>
      <c r="D122" t="s">
        <v>40</v>
      </c>
      <c r="E122" t="s">
        <v>262</v>
      </c>
      <c r="F122" t="s">
        <v>345</v>
      </c>
      <c r="G122">
        <v>1</v>
      </c>
      <c r="H122">
        <v>10584.64</v>
      </c>
      <c r="I122">
        <v>0</v>
      </c>
      <c r="J122">
        <v>10584.64</v>
      </c>
      <c r="K122">
        <v>753.41</v>
      </c>
      <c r="L122">
        <v>4.8</v>
      </c>
      <c r="M122" s="53">
        <v>45583</v>
      </c>
      <c r="N122" t="s">
        <v>30</v>
      </c>
      <c r="O122" t="s">
        <v>73</v>
      </c>
      <c r="P122" s="54">
        <v>0.0711795583033528</v>
      </c>
    </row>
    <row r="123" spans="1:16">
      <c r="A123" t="s">
        <v>451</v>
      </c>
      <c r="B123" t="s">
        <v>452</v>
      </c>
      <c r="C123" t="s">
        <v>453</v>
      </c>
      <c r="D123" t="s">
        <v>19</v>
      </c>
      <c r="E123" t="s">
        <v>20</v>
      </c>
      <c r="F123" t="s">
        <v>454</v>
      </c>
      <c r="G123">
        <v>3</v>
      </c>
      <c r="H123">
        <v>4705.75</v>
      </c>
      <c r="I123">
        <v>0.05</v>
      </c>
      <c r="J123">
        <v>13411.39</v>
      </c>
      <c r="K123">
        <v>2927.76</v>
      </c>
      <c r="L123">
        <v>1.8</v>
      </c>
      <c r="M123" s="53">
        <v>45219</v>
      </c>
      <c r="N123" t="s">
        <v>30</v>
      </c>
      <c r="O123" t="s">
        <v>31</v>
      </c>
      <c r="P123" s="54">
        <v>0.218303993844039</v>
      </c>
    </row>
    <row r="124" spans="1:16">
      <c r="A124" t="s">
        <v>455</v>
      </c>
      <c r="B124" t="s">
        <v>456</v>
      </c>
      <c r="C124" t="s">
        <v>457</v>
      </c>
      <c r="D124" t="s">
        <v>40</v>
      </c>
      <c r="E124" t="s">
        <v>174</v>
      </c>
      <c r="F124" t="s">
        <v>175</v>
      </c>
      <c r="G124">
        <v>5</v>
      </c>
      <c r="H124">
        <v>17853.44</v>
      </c>
      <c r="I124">
        <v>0</v>
      </c>
      <c r="J124">
        <v>89267.2</v>
      </c>
      <c r="K124">
        <v>5255.25</v>
      </c>
      <c r="L124">
        <v>1</v>
      </c>
      <c r="M124" s="53">
        <v>45273</v>
      </c>
      <c r="N124" t="s">
        <v>22</v>
      </c>
      <c r="O124" t="s">
        <v>57</v>
      </c>
      <c r="P124" s="54">
        <v>0.0588710074921136</v>
      </c>
    </row>
    <row r="125" spans="1:16">
      <c r="A125" t="s">
        <v>458</v>
      </c>
      <c r="B125" t="s">
        <v>459</v>
      </c>
      <c r="C125" t="s">
        <v>460</v>
      </c>
      <c r="D125" t="s">
        <v>53</v>
      </c>
      <c r="E125" t="s">
        <v>71</v>
      </c>
      <c r="F125" t="s">
        <v>150</v>
      </c>
      <c r="G125">
        <v>3</v>
      </c>
      <c r="H125">
        <v>7700.3</v>
      </c>
      <c r="I125">
        <v>0.2</v>
      </c>
      <c r="J125">
        <v>18480.72</v>
      </c>
      <c r="K125">
        <v>1687.23</v>
      </c>
      <c r="L125">
        <v>1.7</v>
      </c>
      <c r="M125" s="53">
        <v>45480</v>
      </c>
      <c r="N125" t="s">
        <v>56</v>
      </c>
      <c r="O125" t="s">
        <v>44</v>
      </c>
      <c r="P125" s="54">
        <v>0.0912967676584029</v>
      </c>
    </row>
    <row r="126" spans="1:16">
      <c r="A126" t="s">
        <v>461</v>
      </c>
      <c r="B126" t="s">
        <v>462</v>
      </c>
      <c r="C126" t="s">
        <v>463</v>
      </c>
      <c r="D126" t="s">
        <v>19</v>
      </c>
      <c r="E126" t="s">
        <v>35</v>
      </c>
      <c r="F126" t="s">
        <v>245</v>
      </c>
      <c r="G126">
        <v>2</v>
      </c>
      <c r="H126">
        <v>18553.71</v>
      </c>
      <c r="I126">
        <v>0</v>
      </c>
      <c r="J126">
        <v>37107.42</v>
      </c>
      <c r="K126">
        <v>9182.66</v>
      </c>
      <c r="L126">
        <v>3.5</v>
      </c>
      <c r="M126" s="53">
        <v>45159</v>
      </c>
      <c r="N126" t="s">
        <v>22</v>
      </c>
      <c r="O126" t="s">
        <v>31</v>
      </c>
      <c r="P126" s="54">
        <v>0.247461558901158</v>
      </c>
    </row>
    <row r="127" spans="1:16">
      <c r="A127" t="s">
        <v>464</v>
      </c>
      <c r="B127" t="s">
        <v>465</v>
      </c>
      <c r="C127" t="s">
        <v>466</v>
      </c>
      <c r="D127" t="s">
        <v>27</v>
      </c>
      <c r="E127" t="s">
        <v>117</v>
      </c>
      <c r="F127" t="s">
        <v>192</v>
      </c>
      <c r="G127">
        <v>3</v>
      </c>
      <c r="H127">
        <v>5087.45</v>
      </c>
      <c r="I127">
        <v>0.05</v>
      </c>
      <c r="J127">
        <v>14499.23</v>
      </c>
      <c r="K127">
        <v>827.31</v>
      </c>
      <c r="L127">
        <v>4.8</v>
      </c>
      <c r="M127" s="53">
        <v>45350</v>
      </c>
      <c r="N127" t="s">
        <v>56</v>
      </c>
      <c r="O127" t="s">
        <v>44</v>
      </c>
      <c r="P127" s="54">
        <v>0.0570588920928905</v>
      </c>
    </row>
    <row r="128" spans="1:16">
      <c r="A128" t="s">
        <v>467</v>
      </c>
      <c r="B128" t="s">
        <v>468</v>
      </c>
      <c r="C128" t="s">
        <v>469</v>
      </c>
      <c r="D128" t="s">
        <v>19</v>
      </c>
      <c r="E128" t="s">
        <v>35</v>
      </c>
      <c r="F128" t="s">
        <v>215</v>
      </c>
      <c r="G128">
        <v>3</v>
      </c>
      <c r="H128">
        <v>5899.26</v>
      </c>
      <c r="I128">
        <v>0</v>
      </c>
      <c r="J128">
        <v>17697.78</v>
      </c>
      <c r="K128">
        <v>1545.63</v>
      </c>
      <c r="L128">
        <v>3.1</v>
      </c>
      <c r="M128" s="53">
        <v>45537</v>
      </c>
      <c r="N128" t="s">
        <v>22</v>
      </c>
      <c r="O128" t="s">
        <v>23</v>
      </c>
      <c r="P128" s="54">
        <v>0.0873346826551127</v>
      </c>
    </row>
    <row r="129" spans="1:16">
      <c r="A129" t="s">
        <v>470</v>
      </c>
      <c r="B129" t="s">
        <v>471</v>
      </c>
      <c r="C129" t="s">
        <v>472</v>
      </c>
      <c r="D129" t="s">
        <v>40</v>
      </c>
      <c r="E129" t="s">
        <v>81</v>
      </c>
      <c r="F129" t="s">
        <v>358</v>
      </c>
      <c r="G129">
        <v>1</v>
      </c>
      <c r="H129">
        <v>16107.82</v>
      </c>
      <c r="I129">
        <v>0.05</v>
      </c>
      <c r="J129">
        <v>15302.43</v>
      </c>
      <c r="K129">
        <v>3715.98</v>
      </c>
      <c r="L129">
        <v>4.1</v>
      </c>
      <c r="M129" s="53">
        <v>45216</v>
      </c>
      <c r="N129" t="s">
        <v>56</v>
      </c>
      <c r="O129" t="s">
        <v>73</v>
      </c>
      <c r="P129" s="54">
        <v>0.242835941742586</v>
      </c>
    </row>
    <row r="130" spans="1:16">
      <c r="A130" t="s">
        <v>473</v>
      </c>
      <c r="B130" t="s">
        <v>474</v>
      </c>
      <c r="C130" t="s">
        <v>475</v>
      </c>
      <c r="D130" t="s">
        <v>53</v>
      </c>
      <c r="E130" t="s">
        <v>100</v>
      </c>
      <c r="F130" t="s">
        <v>271</v>
      </c>
      <c r="G130">
        <v>1</v>
      </c>
      <c r="H130">
        <v>1923.65</v>
      </c>
      <c r="I130">
        <v>0</v>
      </c>
      <c r="J130">
        <v>1923.65</v>
      </c>
      <c r="K130">
        <v>306.69</v>
      </c>
      <c r="L130">
        <v>4.4</v>
      </c>
      <c r="M130" s="53">
        <v>45082</v>
      </c>
      <c r="N130" t="s">
        <v>22</v>
      </c>
      <c r="O130" t="s">
        <v>31</v>
      </c>
      <c r="P130" s="54">
        <v>0.159431289475736</v>
      </c>
    </row>
    <row r="131" spans="1:16">
      <c r="A131" t="s">
        <v>476</v>
      </c>
      <c r="B131" t="s">
        <v>62</v>
      </c>
      <c r="C131" t="s">
        <v>477</v>
      </c>
      <c r="D131" t="s">
        <v>53</v>
      </c>
      <c r="E131" t="s">
        <v>54</v>
      </c>
      <c r="F131" t="s">
        <v>55</v>
      </c>
      <c r="G131">
        <v>5</v>
      </c>
      <c r="H131">
        <v>19124.46</v>
      </c>
      <c r="I131">
        <v>0</v>
      </c>
      <c r="J131">
        <v>95622.3</v>
      </c>
      <c r="K131">
        <v>20344.52</v>
      </c>
      <c r="L131">
        <v>3.2</v>
      </c>
      <c r="M131" s="53">
        <v>45537</v>
      </c>
      <c r="N131" t="s">
        <v>30</v>
      </c>
      <c r="O131" t="s">
        <v>44</v>
      </c>
      <c r="P131" s="54">
        <v>0.21275915764419</v>
      </c>
    </row>
    <row r="132" spans="1:16">
      <c r="A132" t="s">
        <v>478</v>
      </c>
      <c r="B132" t="s">
        <v>479</v>
      </c>
      <c r="C132" t="s">
        <v>480</v>
      </c>
      <c r="D132" t="s">
        <v>40</v>
      </c>
      <c r="E132" t="s">
        <v>81</v>
      </c>
      <c r="F132" t="s">
        <v>358</v>
      </c>
      <c r="G132">
        <v>1</v>
      </c>
      <c r="H132">
        <v>2965.38</v>
      </c>
      <c r="I132">
        <v>0.2</v>
      </c>
      <c r="J132">
        <v>2372.3</v>
      </c>
      <c r="K132">
        <v>254.77</v>
      </c>
      <c r="L132">
        <v>1.4</v>
      </c>
      <c r="M132" s="53">
        <v>45188</v>
      </c>
      <c r="N132" t="s">
        <v>56</v>
      </c>
      <c r="O132" t="s">
        <v>73</v>
      </c>
      <c r="P132" s="54">
        <v>0.107393668591662</v>
      </c>
    </row>
    <row r="133" spans="1:16">
      <c r="A133" t="s">
        <v>481</v>
      </c>
      <c r="B133" t="s">
        <v>482</v>
      </c>
      <c r="C133" t="s">
        <v>483</v>
      </c>
      <c r="D133" t="s">
        <v>27</v>
      </c>
      <c r="E133" t="s">
        <v>48</v>
      </c>
      <c r="F133" t="s">
        <v>77</v>
      </c>
      <c r="G133">
        <v>5</v>
      </c>
      <c r="H133">
        <v>4024.33</v>
      </c>
      <c r="I133">
        <v>0.05</v>
      </c>
      <c r="J133">
        <v>19115.57</v>
      </c>
      <c r="K133">
        <v>3909.31</v>
      </c>
      <c r="L133">
        <v>3.5</v>
      </c>
      <c r="M133" s="53">
        <v>45248</v>
      </c>
      <c r="N133" t="s">
        <v>30</v>
      </c>
      <c r="O133" t="s">
        <v>23</v>
      </c>
      <c r="P133" s="54">
        <v>0.204509203753799</v>
      </c>
    </row>
    <row r="134" spans="1:16">
      <c r="A134" t="s">
        <v>484</v>
      </c>
      <c r="B134" t="s">
        <v>485</v>
      </c>
      <c r="C134" t="s">
        <v>486</v>
      </c>
      <c r="D134" t="s">
        <v>53</v>
      </c>
      <c r="E134" t="s">
        <v>100</v>
      </c>
      <c r="F134" t="s">
        <v>101</v>
      </c>
      <c r="G134">
        <v>1</v>
      </c>
      <c r="H134">
        <v>11810.4</v>
      </c>
      <c r="I134">
        <v>0</v>
      </c>
      <c r="J134">
        <v>11810.4</v>
      </c>
      <c r="K134">
        <v>1515.83</v>
      </c>
      <c r="L134">
        <v>1.9</v>
      </c>
      <c r="M134" s="53">
        <v>45451</v>
      </c>
      <c r="N134" t="s">
        <v>22</v>
      </c>
      <c r="O134" t="s">
        <v>73</v>
      </c>
      <c r="P134" s="54">
        <v>0.128347050057576</v>
      </c>
    </row>
    <row r="135" spans="1:16">
      <c r="A135" t="s">
        <v>487</v>
      </c>
      <c r="B135" t="s">
        <v>488</v>
      </c>
      <c r="C135" t="s">
        <v>489</v>
      </c>
      <c r="D135" t="s">
        <v>40</v>
      </c>
      <c r="E135" t="s">
        <v>174</v>
      </c>
      <c r="F135" t="s">
        <v>199</v>
      </c>
      <c r="G135">
        <v>2</v>
      </c>
      <c r="H135">
        <v>449.39</v>
      </c>
      <c r="I135">
        <v>0</v>
      </c>
      <c r="J135">
        <v>898.78</v>
      </c>
      <c r="K135">
        <v>132.67</v>
      </c>
      <c r="L135">
        <v>1.1</v>
      </c>
      <c r="M135" s="53">
        <v>45480</v>
      </c>
      <c r="N135" t="s">
        <v>22</v>
      </c>
      <c r="O135" t="s">
        <v>31</v>
      </c>
      <c r="P135" s="54">
        <v>0.147611206301876</v>
      </c>
    </row>
    <row r="136" spans="1:16">
      <c r="A136" t="s">
        <v>490</v>
      </c>
      <c r="B136" t="s">
        <v>491</v>
      </c>
      <c r="C136" t="s">
        <v>492</v>
      </c>
      <c r="D136" t="s">
        <v>53</v>
      </c>
      <c r="E136" t="s">
        <v>100</v>
      </c>
      <c r="F136" t="s">
        <v>267</v>
      </c>
      <c r="G136">
        <v>2</v>
      </c>
      <c r="H136">
        <v>17972.32</v>
      </c>
      <c r="I136">
        <v>0</v>
      </c>
      <c r="J136">
        <v>35944.64</v>
      </c>
      <c r="K136">
        <v>2921.07</v>
      </c>
      <c r="L136">
        <v>3.5</v>
      </c>
      <c r="M136" s="53">
        <v>45200</v>
      </c>
      <c r="N136" t="s">
        <v>43</v>
      </c>
      <c r="O136" t="s">
        <v>44</v>
      </c>
      <c r="P136" s="54">
        <v>0.081265802077862</v>
      </c>
    </row>
    <row r="137" spans="1:16">
      <c r="A137" t="s">
        <v>493</v>
      </c>
      <c r="B137" t="s">
        <v>494</v>
      </c>
      <c r="C137" t="s">
        <v>495</v>
      </c>
      <c r="D137" t="s">
        <v>27</v>
      </c>
      <c r="E137" t="s">
        <v>233</v>
      </c>
      <c r="F137" t="s">
        <v>234</v>
      </c>
      <c r="G137">
        <v>1</v>
      </c>
      <c r="H137">
        <v>17001.36</v>
      </c>
      <c r="I137">
        <v>0.05</v>
      </c>
      <c r="J137">
        <v>16151.29</v>
      </c>
      <c r="K137">
        <v>2744.73</v>
      </c>
      <c r="L137">
        <v>1.4</v>
      </c>
      <c r="M137" s="53">
        <v>44992</v>
      </c>
      <c r="N137" t="s">
        <v>30</v>
      </c>
      <c r="O137" t="s">
        <v>23</v>
      </c>
      <c r="P137" s="54">
        <v>0.169938747926636</v>
      </c>
    </row>
    <row r="138" spans="1:16">
      <c r="A138" t="s">
        <v>496</v>
      </c>
      <c r="B138" t="s">
        <v>497</v>
      </c>
      <c r="C138" t="s">
        <v>498</v>
      </c>
      <c r="D138" t="s">
        <v>27</v>
      </c>
      <c r="E138" t="s">
        <v>233</v>
      </c>
      <c r="F138" t="s">
        <v>362</v>
      </c>
      <c r="G138">
        <v>3</v>
      </c>
      <c r="H138">
        <v>14861.22</v>
      </c>
      <c r="I138">
        <v>0.15</v>
      </c>
      <c r="J138">
        <v>37896.11</v>
      </c>
      <c r="K138">
        <v>4379.42</v>
      </c>
      <c r="L138">
        <v>1.2</v>
      </c>
      <c r="M138" s="53">
        <v>45213</v>
      </c>
      <c r="N138" t="s">
        <v>43</v>
      </c>
      <c r="O138" t="s">
        <v>57</v>
      </c>
      <c r="P138" s="54">
        <v>0.115563840193624</v>
      </c>
    </row>
    <row r="139" spans="1:16">
      <c r="A139" t="s">
        <v>499</v>
      </c>
      <c r="B139" t="s">
        <v>500</v>
      </c>
      <c r="C139" t="s">
        <v>501</v>
      </c>
      <c r="D139" t="s">
        <v>19</v>
      </c>
      <c r="E139" t="s">
        <v>129</v>
      </c>
      <c r="F139" t="s">
        <v>320</v>
      </c>
      <c r="G139">
        <v>3</v>
      </c>
      <c r="H139">
        <v>7962.02</v>
      </c>
      <c r="I139">
        <v>0.05</v>
      </c>
      <c r="J139">
        <v>22691.76</v>
      </c>
      <c r="K139">
        <v>3073.19</v>
      </c>
      <c r="L139">
        <v>4.6</v>
      </c>
      <c r="M139" s="53">
        <v>45435</v>
      </c>
      <c r="N139" t="s">
        <v>22</v>
      </c>
      <c r="O139" t="s">
        <v>57</v>
      </c>
      <c r="P139" s="54">
        <v>0.135431980595599</v>
      </c>
    </row>
    <row r="140" spans="1:16">
      <c r="A140" t="s">
        <v>502</v>
      </c>
      <c r="B140" t="s">
        <v>503</v>
      </c>
      <c r="C140" t="s">
        <v>504</v>
      </c>
      <c r="D140" t="s">
        <v>27</v>
      </c>
      <c r="E140" t="s">
        <v>117</v>
      </c>
      <c r="F140" t="s">
        <v>505</v>
      </c>
      <c r="G140">
        <v>2</v>
      </c>
      <c r="H140">
        <v>8521.88</v>
      </c>
      <c r="I140">
        <v>0.2</v>
      </c>
      <c r="J140">
        <v>13635.01</v>
      </c>
      <c r="K140">
        <v>1939.26</v>
      </c>
      <c r="L140">
        <v>2</v>
      </c>
      <c r="M140" s="53">
        <v>45535</v>
      </c>
      <c r="N140" t="s">
        <v>30</v>
      </c>
      <c r="O140" t="s">
        <v>73</v>
      </c>
      <c r="P140" s="54">
        <v>0.142226518352388</v>
      </c>
    </row>
    <row r="141" spans="1:16">
      <c r="A141" t="s">
        <v>506</v>
      </c>
      <c r="B141" t="s">
        <v>507</v>
      </c>
      <c r="C141" t="s">
        <v>508</v>
      </c>
      <c r="D141" t="s">
        <v>40</v>
      </c>
      <c r="E141" t="s">
        <v>81</v>
      </c>
      <c r="F141" t="s">
        <v>241</v>
      </c>
      <c r="G141">
        <v>1</v>
      </c>
      <c r="H141">
        <v>13468.5</v>
      </c>
      <c r="I141">
        <v>0.05</v>
      </c>
      <c r="J141">
        <v>12795.07</v>
      </c>
      <c r="K141">
        <v>864.27</v>
      </c>
      <c r="L141">
        <v>4</v>
      </c>
      <c r="M141" s="53">
        <v>45119</v>
      </c>
      <c r="N141" t="s">
        <v>56</v>
      </c>
      <c r="O141" t="s">
        <v>31</v>
      </c>
      <c r="P141" s="54">
        <v>0.0675471099415634</v>
      </c>
    </row>
    <row r="142" spans="1:16">
      <c r="A142" t="s">
        <v>509</v>
      </c>
      <c r="B142" t="s">
        <v>510</v>
      </c>
      <c r="C142" t="s">
        <v>511</v>
      </c>
      <c r="D142" t="s">
        <v>27</v>
      </c>
      <c r="E142" t="s">
        <v>28</v>
      </c>
      <c r="F142" t="s">
        <v>192</v>
      </c>
      <c r="G142">
        <v>5</v>
      </c>
      <c r="H142">
        <v>1694.1</v>
      </c>
      <c r="I142">
        <v>0</v>
      </c>
      <c r="J142">
        <v>8470.5</v>
      </c>
      <c r="K142">
        <v>1311.38</v>
      </c>
      <c r="L142">
        <v>2.3</v>
      </c>
      <c r="M142" s="53">
        <v>45356</v>
      </c>
      <c r="N142" t="s">
        <v>22</v>
      </c>
      <c r="O142" t="s">
        <v>57</v>
      </c>
      <c r="P142" s="54">
        <v>0.154817307124727</v>
      </c>
    </row>
    <row r="143" spans="1:16">
      <c r="A143" t="s">
        <v>512</v>
      </c>
      <c r="B143" t="s">
        <v>513</v>
      </c>
      <c r="C143" t="s">
        <v>514</v>
      </c>
      <c r="D143" t="s">
        <v>53</v>
      </c>
      <c r="E143" t="s">
        <v>95</v>
      </c>
      <c r="F143" t="s">
        <v>306</v>
      </c>
      <c r="G143">
        <v>4</v>
      </c>
      <c r="H143">
        <v>9648.92</v>
      </c>
      <c r="I143">
        <v>0</v>
      </c>
      <c r="J143">
        <v>38595.68</v>
      </c>
      <c r="K143">
        <v>5387.93</v>
      </c>
      <c r="L143">
        <v>3.9</v>
      </c>
      <c r="M143" s="53">
        <v>45309</v>
      </c>
      <c r="N143" t="s">
        <v>56</v>
      </c>
      <c r="O143" t="s">
        <v>31</v>
      </c>
      <c r="P143" s="54">
        <v>0.139599302305336</v>
      </c>
    </row>
    <row r="144" spans="1:16">
      <c r="A144" t="s">
        <v>515</v>
      </c>
      <c r="B144" t="s">
        <v>516</v>
      </c>
      <c r="C144" t="s">
        <v>517</v>
      </c>
      <c r="D144" t="s">
        <v>19</v>
      </c>
      <c r="E144" t="s">
        <v>20</v>
      </c>
      <c r="F144" t="s">
        <v>21</v>
      </c>
      <c r="G144">
        <v>5</v>
      </c>
      <c r="H144">
        <v>532.61</v>
      </c>
      <c r="I144">
        <v>0.2</v>
      </c>
      <c r="J144">
        <v>2130.44</v>
      </c>
      <c r="K144">
        <v>266.63</v>
      </c>
      <c r="L144">
        <v>3.2</v>
      </c>
      <c r="M144" s="53">
        <v>45405</v>
      </c>
      <c r="N144" t="s">
        <v>43</v>
      </c>
      <c r="O144" t="s">
        <v>23</v>
      </c>
      <c r="P144" s="54">
        <v>0.125152550646815</v>
      </c>
    </row>
    <row r="145" spans="1:16">
      <c r="A145" t="s">
        <v>518</v>
      </c>
      <c r="B145" t="s">
        <v>519</v>
      </c>
      <c r="C145" t="s">
        <v>520</v>
      </c>
      <c r="D145" t="s">
        <v>53</v>
      </c>
      <c r="E145" t="s">
        <v>100</v>
      </c>
      <c r="F145" t="s">
        <v>229</v>
      </c>
      <c r="G145">
        <v>5</v>
      </c>
      <c r="H145">
        <v>16853.77</v>
      </c>
      <c r="I145">
        <v>0</v>
      </c>
      <c r="J145">
        <v>84268.85</v>
      </c>
      <c r="K145">
        <v>16571.77</v>
      </c>
      <c r="L145">
        <v>4.1</v>
      </c>
      <c r="M145" s="53">
        <v>45256</v>
      </c>
      <c r="N145" t="s">
        <v>56</v>
      </c>
      <c r="O145" t="s">
        <v>73</v>
      </c>
      <c r="P145" s="54">
        <v>0.196653567718083</v>
      </c>
    </row>
    <row r="146" spans="1:16">
      <c r="A146" t="s">
        <v>521</v>
      </c>
      <c r="B146" t="s">
        <v>522</v>
      </c>
      <c r="C146" t="s">
        <v>523</v>
      </c>
      <c r="D146" t="s">
        <v>53</v>
      </c>
      <c r="E146" t="s">
        <v>95</v>
      </c>
      <c r="F146" t="s">
        <v>524</v>
      </c>
      <c r="G146">
        <v>5</v>
      </c>
      <c r="H146">
        <v>10787.18</v>
      </c>
      <c r="I146">
        <v>0.15</v>
      </c>
      <c r="J146">
        <v>45845.51</v>
      </c>
      <c r="K146">
        <v>6540.48</v>
      </c>
      <c r="L146">
        <v>2.1</v>
      </c>
      <c r="M146" s="53">
        <v>45210</v>
      </c>
      <c r="N146" t="s">
        <v>56</v>
      </c>
      <c r="O146" t="s">
        <v>23</v>
      </c>
      <c r="P146" s="54">
        <v>0.142663480022362</v>
      </c>
    </row>
    <row r="147" spans="1:16">
      <c r="A147" t="s">
        <v>525</v>
      </c>
      <c r="B147" t="s">
        <v>526</v>
      </c>
      <c r="C147" t="s">
        <v>527</v>
      </c>
      <c r="D147" t="s">
        <v>40</v>
      </c>
      <c r="E147" t="s">
        <v>262</v>
      </c>
      <c r="F147" t="s">
        <v>385</v>
      </c>
      <c r="G147">
        <v>2</v>
      </c>
      <c r="H147">
        <v>2118.3</v>
      </c>
      <c r="I147">
        <v>0.1</v>
      </c>
      <c r="J147">
        <v>3812.94</v>
      </c>
      <c r="K147">
        <v>565.31</v>
      </c>
      <c r="L147">
        <v>1.3</v>
      </c>
      <c r="M147" s="53">
        <v>45518</v>
      </c>
      <c r="N147" t="s">
        <v>56</v>
      </c>
      <c r="O147" t="s">
        <v>57</v>
      </c>
      <c r="P147" s="54">
        <v>0.14826092201818</v>
      </c>
    </row>
    <row r="148" spans="1:16">
      <c r="A148" t="s">
        <v>528</v>
      </c>
      <c r="B148" t="s">
        <v>227</v>
      </c>
      <c r="C148" t="s">
        <v>529</v>
      </c>
      <c r="D148" t="s">
        <v>40</v>
      </c>
      <c r="E148" t="s">
        <v>174</v>
      </c>
      <c r="F148" t="s">
        <v>199</v>
      </c>
      <c r="G148">
        <v>3</v>
      </c>
      <c r="H148">
        <v>2809.73</v>
      </c>
      <c r="I148">
        <v>0</v>
      </c>
      <c r="J148">
        <v>8429.19</v>
      </c>
      <c r="K148">
        <v>901.51</v>
      </c>
      <c r="L148">
        <v>1.4</v>
      </c>
      <c r="M148" s="53">
        <v>45474</v>
      </c>
      <c r="N148" t="s">
        <v>22</v>
      </c>
      <c r="O148" t="s">
        <v>73</v>
      </c>
      <c r="P148" s="54">
        <v>0.106950964446169</v>
      </c>
    </row>
    <row r="149" spans="1:16">
      <c r="A149" t="s">
        <v>530</v>
      </c>
      <c r="B149" t="s">
        <v>531</v>
      </c>
      <c r="C149" t="s">
        <v>532</v>
      </c>
      <c r="D149" t="s">
        <v>27</v>
      </c>
      <c r="E149" t="s">
        <v>48</v>
      </c>
      <c r="F149" t="s">
        <v>77</v>
      </c>
      <c r="G149">
        <v>5</v>
      </c>
      <c r="H149">
        <v>15675.95</v>
      </c>
      <c r="I149">
        <v>0.15</v>
      </c>
      <c r="J149">
        <v>66622.79</v>
      </c>
      <c r="K149">
        <v>3635.44</v>
      </c>
      <c r="L149">
        <v>1.2</v>
      </c>
      <c r="M149" s="53">
        <v>45610</v>
      </c>
      <c r="N149" t="s">
        <v>56</v>
      </c>
      <c r="O149" t="s">
        <v>44</v>
      </c>
      <c r="P149" s="54">
        <v>0.0545675136090818</v>
      </c>
    </row>
    <row r="150" spans="1:16">
      <c r="A150" t="s">
        <v>533</v>
      </c>
      <c r="B150" t="s">
        <v>534</v>
      </c>
      <c r="C150" t="s">
        <v>535</v>
      </c>
      <c r="D150" t="s">
        <v>19</v>
      </c>
      <c r="E150" t="s">
        <v>35</v>
      </c>
      <c r="F150" t="s">
        <v>36</v>
      </c>
      <c r="G150">
        <v>2</v>
      </c>
      <c r="H150">
        <v>18514.02</v>
      </c>
      <c r="I150">
        <v>0.05</v>
      </c>
      <c r="J150">
        <v>35176.64</v>
      </c>
      <c r="K150">
        <v>4136.58</v>
      </c>
      <c r="L150">
        <v>1.1</v>
      </c>
      <c r="M150" s="53">
        <v>45014</v>
      </c>
      <c r="N150" t="s">
        <v>56</v>
      </c>
      <c r="O150" t="s">
        <v>44</v>
      </c>
      <c r="P150" s="54">
        <v>0.117594517270552</v>
      </c>
    </row>
    <row r="151" spans="1:16">
      <c r="A151" t="s">
        <v>536</v>
      </c>
      <c r="B151" t="s">
        <v>537</v>
      </c>
      <c r="C151" t="s">
        <v>538</v>
      </c>
      <c r="D151" t="s">
        <v>53</v>
      </c>
      <c r="E151" t="s">
        <v>95</v>
      </c>
      <c r="F151" t="s">
        <v>524</v>
      </c>
      <c r="G151">
        <v>3</v>
      </c>
      <c r="H151">
        <v>9135.87</v>
      </c>
      <c r="I151">
        <v>0.2</v>
      </c>
      <c r="J151">
        <v>21926.09</v>
      </c>
      <c r="K151">
        <v>2568.78</v>
      </c>
      <c r="L151">
        <v>1.1</v>
      </c>
      <c r="M151" s="53">
        <v>45530</v>
      </c>
      <c r="N151" t="s">
        <v>56</v>
      </c>
      <c r="O151" t="s">
        <v>73</v>
      </c>
      <c r="P151" s="54">
        <v>0.117156319252543</v>
      </c>
    </row>
    <row r="152" spans="1:16">
      <c r="A152" t="s">
        <v>539</v>
      </c>
      <c r="B152" t="s">
        <v>540</v>
      </c>
      <c r="C152" t="s">
        <v>541</v>
      </c>
      <c r="D152" t="s">
        <v>40</v>
      </c>
      <c r="E152" t="s">
        <v>174</v>
      </c>
      <c r="F152" t="s">
        <v>202</v>
      </c>
      <c r="G152">
        <v>3</v>
      </c>
      <c r="H152">
        <v>16672.3</v>
      </c>
      <c r="I152">
        <v>0.05</v>
      </c>
      <c r="J152">
        <v>47516.05</v>
      </c>
      <c r="K152">
        <v>8399.32</v>
      </c>
      <c r="L152">
        <v>4.5</v>
      </c>
      <c r="M152" s="53">
        <v>45382</v>
      </c>
      <c r="N152" t="s">
        <v>56</v>
      </c>
      <c r="O152" t="s">
        <v>73</v>
      </c>
      <c r="P152" s="54">
        <v>0.176768060476407</v>
      </c>
    </row>
    <row r="153" spans="1:16">
      <c r="A153" t="s">
        <v>542</v>
      </c>
      <c r="B153" t="s">
        <v>543</v>
      </c>
      <c r="C153" t="s">
        <v>544</v>
      </c>
      <c r="D153" t="s">
        <v>53</v>
      </c>
      <c r="E153" t="s">
        <v>54</v>
      </c>
      <c r="F153" t="s">
        <v>55</v>
      </c>
      <c r="G153">
        <v>4</v>
      </c>
      <c r="H153">
        <v>1298.6</v>
      </c>
      <c r="I153">
        <v>0</v>
      </c>
      <c r="J153">
        <v>5194.4</v>
      </c>
      <c r="K153">
        <v>489.36</v>
      </c>
      <c r="L153">
        <v>3</v>
      </c>
      <c r="M153" s="53">
        <v>45193</v>
      </c>
      <c r="N153" t="s">
        <v>30</v>
      </c>
      <c r="O153" t="s">
        <v>23</v>
      </c>
      <c r="P153" s="54">
        <v>0.0942091483135685</v>
      </c>
    </row>
    <row r="154" spans="1:16">
      <c r="A154" t="s">
        <v>545</v>
      </c>
      <c r="B154" t="s">
        <v>546</v>
      </c>
      <c r="C154" t="s">
        <v>547</v>
      </c>
      <c r="D154" t="s">
        <v>53</v>
      </c>
      <c r="E154" t="s">
        <v>95</v>
      </c>
      <c r="F154" t="s">
        <v>271</v>
      </c>
      <c r="G154">
        <v>5</v>
      </c>
      <c r="H154">
        <v>18593.44</v>
      </c>
      <c r="I154">
        <v>0.15</v>
      </c>
      <c r="J154">
        <v>79022.12</v>
      </c>
      <c r="K154">
        <v>17548.69</v>
      </c>
      <c r="L154">
        <v>2.5</v>
      </c>
      <c r="M154" s="53">
        <v>45549</v>
      </c>
      <c r="N154" t="s">
        <v>56</v>
      </c>
      <c r="O154" t="s">
        <v>73</v>
      </c>
      <c r="P154" s="54">
        <v>0.222073135977622</v>
      </c>
    </row>
    <row r="155" spans="1:16">
      <c r="A155" t="s">
        <v>548</v>
      </c>
      <c r="B155" t="s">
        <v>549</v>
      </c>
      <c r="C155" t="s">
        <v>550</v>
      </c>
      <c r="D155" t="s">
        <v>53</v>
      </c>
      <c r="E155" t="s">
        <v>54</v>
      </c>
      <c r="F155" t="s">
        <v>258</v>
      </c>
      <c r="G155">
        <v>2</v>
      </c>
      <c r="H155">
        <v>2978.51</v>
      </c>
      <c r="I155">
        <v>0.15</v>
      </c>
      <c r="J155">
        <v>5063.47</v>
      </c>
      <c r="K155">
        <v>791.37</v>
      </c>
      <c r="L155">
        <v>3.5</v>
      </c>
      <c r="M155" s="53">
        <v>45216</v>
      </c>
      <c r="N155" t="s">
        <v>22</v>
      </c>
      <c r="O155" t="s">
        <v>73</v>
      </c>
      <c r="P155" s="54">
        <v>0.156290054053841</v>
      </c>
    </row>
    <row r="156" spans="1:16">
      <c r="A156" t="s">
        <v>551</v>
      </c>
      <c r="B156" t="s">
        <v>552</v>
      </c>
      <c r="C156" t="s">
        <v>553</v>
      </c>
      <c r="D156" t="s">
        <v>53</v>
      </c>
      <c r="E156" t="s">
        <v>100</v>
      </c>
      <c r="F156" t="s">
        <v>271</v>
      </c>
      <c r="G156">
        <v>4</v>
      </c>
      <c r="H156">
        <v>6008.6</v>
      </c>
      <c r="I156">
        <v>0.15</v>
      </c>
      <c r="J156">
        <v>20429.24</v>
      </c>
      <c r="K156">
        <v>4536.06</v>
      </c>
      <c r="L156">
        <v>1.4</v>
      </c>
      <c r="M156" s="53">
        <v>44946</v>
      </c>
      <c r="N156" t="s">
        <v>22</v>
      </c>
      <c r="O156" t="s">
        <v>73</v>
      </c>
      <c r="P156" s="54">
        <v>0.222037628418874</v>
      </c>
    </row>
    <row r="157" spans="1:16">
      <c r="A157" t="s">
        <v>554</v>
      </c>
      <c r="B157" t="s">
        <v>555</v>
      </c>
      <c r="C157" t="s">
        <v>556</v>
      </c>
      <c r="D157" t="s">
        <v>27</v>
      </c>
      <c r="E157" t="s">
        <v>233</v>
      </c>
      <c r="F157" t="s">
        <v>362</v>
      </c>
      <c r="G157">
        <v>4</v>
      </c>
      <c r="H157">
        <v>4759.72</v>
      </c>
      <c r="I157">
        <v>0.15</v>
      </c>
      <c r="J157">
        <v>16183.05</v>
      </c>
      <c r="K157">
        <v>1968.42</v>
      </c>
      <c r="L157">
        <v>1.7</v>
      </c>
      <c r="M157" s="53">
        <v>45200</v>
      </c>
      <c r="N157" t="s">
        <v>22</v>
      </c>
      <c r="O157" t="s">
        <v>44</v>
      </c>
      <c r="P157" s="54">
        <v>0.121634673315599</v>
      </c>
    </row>
    <row r="158" spans="1:16">
      <c r="A158" t="s">
        <v>557</v>
      </c>
      <c r="B158" t="s">
        <v>558</v>
      </c>
      <c r="C158" t="s">
        <v>559</v>
      </c>
      <c r="D158" t="s">
        <v>19</v>
      </c>
      <c r="E158" t="s">
        <v>20</v>
      </c>
      <c r="F158" t="s">
        <v>121</v>
      </c>
      <c r="G158">
        <v>1</v>
      </c>
      <c r="H158">
        <v>1278.73</v>
      </c>
      <c r="I158">
        <v>0.1</v>
      </c>
      <c r="J158">
        <v>1150.86</v>
      </c>
      <c r="K158">
        <v>253.66</v>
      </c>
      <c r="L158">
        <v>4.4</v>
      </c>
      <c r="M158" s="53">
        <v>45387</v>
      </c>
      <c r="N158" t="s">
        <v>43</v>
      </c>
      <c r="O158" t="s">
        <v>57</v>
      </c>
      <c r="P158" s="54">
        <v>0.220409085379629</v>
      </c>
    </row>
    <row r="159" spans="1:16">
      <c r="A159" t="s">
        <v>560</v>
      </c>
      <c r="B159" t="s">
        <v>561</v>
      </c>
      <c r="C159" t="s">
        <v>562</v>
      </c>
      <c r="D159" t="s">
        <v>53</v>
      </c>
      <c r="E159" t="s">
        <v>71</v>
      </c>
      <c r="F159" t="s">
        <v>406</v>
      </c>
      <c r="G159">
        <v>4</v>
      </c>
      <c r="H159">
        <v>16231.66</v>
      </c>
      <c r="I159">
        <v>0.05</v>
      </c>
      <c r="J159">
        <v>61680.31</v>
      </c>
      <c r="K159">
        <v>11574.11</v>
      </c>
      <c r="L159">
        <v>3.4</v>
      </c>
      <c r="M159" s="53">
        <v>45303</v>
      </c>
      <c r="N159" t="s">
        <v>30</v>
      </c>
      <c r="O159" t="s">
        <v>73</v>
      </c>
      <c r="P159" s="54">
        <v>0.187646754693678</v>
      </c>
    </row>
    <row r="160" spans="1:16">
      <c r="A160" t="s">
        <v>563</v>
      </c>
      <c r="B160" t="s">
        <v>564</v>
      </c>
      <c r="C160" t="s">
        <v>565</v>
      </c>
      <c r="D160" t="s">
        <v>19</v>
      </c>
      <c r="E160" t="s">
        <v>129</v>
      </c>
      <c r="F160" t="s">
        <v>320</v>
      </c>
      <c r="G160">
        <v>5</v>
      </c>
      <c r="H160">
        <v>10650.64</v>
      </c>
      <c r="I160">
        <v>0.15</v>
      </c>
      <c r="J160">
        <v>45265.22</v>
      </c>
      <c r="K160">
        <v>3025.66</v>
      </c>
      <c r="L160">
        <v>1.9</v>
      </c>
      <c r="M160" s="53">
        <v>45115</v>
      </c>
      <c r="N160" t="s">
        <v>43</v>
      </c>
      <c r="O160" t="s">
        <v>31</v>
      </c>
      <c r="P160" s="54">
        <v>0.0668429315045856</v>
      </c>
    </row>
    <row r="161" spans="1:16">
      <c r="A161" t="s">
        <v>566</v>
      </c>
      <c r="B161" t="s">
        <v>567</v>
      </c>
      <c r="C161" t="s">
        <v>568</v>
      </c>
      <c r="D161" t="s">
        <v>40</v>
      </c>
      <c r="E161" t="s">
        <v>262</v>
      </c>
      <c r="F161" t="s">
        <v>385</v>
      </c>
      <c r="G161">
        <v>5</v>
      </c>
      <c r="H161">
        <v>18401.95</v>
      </c>
      <c r="I161">
        <v>0.2</v>
      </c>
      <c r="J161">
        <v>73607.8</v>
      </c>
      <c r="K161">
        <v>14194.3</v>
      </c>
      <c r="L161">
        <v>1.8</v>
      </c>
      <c r="M161" s="53">
        <v>45255</v>
      </c>
      <c r="N161" t="s">
        <v>22</v>
      </c>
      <c r="O161" t="s">
        <v>44</v>
      </c>
      <c r="P161" s="54">
        <v>0.192836900437182</v>
      </c>
    </row>
    <row r="162" spans="1:16">
      <c r="A162" t="s">
        <v>569</v>
      </c>
      <c r="B162" t="s">
        <v>570</v>
      </c>
      <c r="C162" t="s">
        <v>571</v>
      </c>
      <c r="D162" t="s">
        <v>40</v>
      </c>
      <c r="E162" t="s">
        <v>262</v>
      </c>
      <c r="F162" t="s">
        <v>263</v>
      </c>
      <c r="G162">
        <v>4</v>
      </c>
      <c r="H162">
        <v>13041.7</v>
      </c>
      <c r="I162">
        <v>0.1</v>
      </c>
      <c r="J162">
        <v>46950.12</v>
      </c>
      <c r="K162">
        <v>9034.65</v>
      </c>
      <c r="L162">
        <v>4.8</v>
      </c>
      <c r="M162" s="53">
        <v>45215</v>
      </c>
      <c r="N162" t="s">
        <v>56</v>
      </c>
      <c r="O162" t="s">
        <v>23</v>
      </c>
      <c r="P162" s="54">
        <v>0.192430818068197</v>
      </c>
    </row>
    <row r="163" spans="1:16">
      <c r="A163" t="s">
        <v>572</v>
      </c>
      <c r="B163" t="s">
        <v>294</v>
      </c>
      <c r="C163" t="s">
        <v>573</v>
      </c>
      <c r="D163" t="s">
        <v>40</v>
      </c>
      <c r="E163" t="s">
        <v>41</v>
      </c>
      <c r="F163" t="s">
        <v>125</v>
      </c>
      <c r="G163">
        <v>3</v>
      </c>
      <c r="H163">
        <v>3291.46</v>
      </c>
      <c r="I163">
        <v>0</v>
      </c>
      <c r="J163">
        <v>9874.38</v>
      </c>
      <c r="K163">
        <v>720.16</v>
      </c>
      <c r="L163">
        <v>4.3</v>
      </c>
      <c r="M163" s="53">
        <v>45296</v>
      </c>
      <c r="N163" t="s">
        <v>56</v>
      </c>
      <c r="O163" t="s">
        <v>73</v>
      </c>
      <c r="P163" s="54">
        <v>0.0729321739694037</v>
      </c>
    </row>
    <row r="164" spans="1:16">
      <c r="A164" t="s">
        <v>574</v>
      </c>
      <c r="B164" t="s">
        <v>575</v>
      </c>
      <c r="C164" t="s">
        <v>576</v>
      </c>
      <c r="D164" t="s">
        <v>53</v>
      </c>
      <c r="E164" t="s">
        <v>95</v>
      </c>
      <c r="F164" t="s">
        <v>96</v>
      </c>
      <c r="G164">
        <v>3</v>
      </c>
      <c r="H164">
        <v>16334.45</v>
      </c>
      <c r="I164">
        <v>0.05</v>
      </c>
      <c r="J164">
        <v>46553.18</v>
      </c>
      <c r="K164">
        <v>9245.02</v>
      </c>
      <c r="L164">
        <v>2.4</v>
      </c>
      <c r="M164" s="53">
        <v>45636</v>
      </c>
      <c r="N164" t="s">
        <v>43</v>
      </c>
      <c r="O164" t="s">
        <v>31</v>
      </c>
      <c r="P164" s="54">
        <v>0.198590515191443</v>
      </c>
    </row>
    <row r="165" spans="1:16">
      <c r="A165" t="s">
        <v>577</v>
      </c>
      <c r="B165" t="s">
        <v>578</v>
      </c>
      <c r="C165" t="s">
        <v>579</v>
      </c>
      <c r="D165" t="s">
        <v>27</v>
      </c>
      <c r="E165" t="s">
        <v>28</v>
      </c>
      <c r="F165" t="s">
        <v>192</v>
      </c>
      <c r="G165">
        <v>1</v>
      </c>
      <c r="H165">
        <v>11652.86</v>
      </c>
      <c r="I165">
        <v>0.15</v>
      </c>
      <c r="J165">
        <v>9904.93</v>
      </c>
      <c r="K165">
        <v>1122.72</v>
      </c>
      <c r="L165">
        <v>2.9</v>
      </c>
      <c r="M165" s="53">
        <v>45393</v>
      </c>
      <c r="N165" t="s">
        <v>43</v>
      </c>
      <c r="O165" t="s">
        <v>31</v>
      </c>
      <c r="P165" s="54">
        <v>0.113349614787788</v>
      </c>
    </row>
    <row r="166" spans="1:16">
      <c r="A166" t="s">
        <v>580</v>
      </c>
      <c r="B166" t="s">
        <v>581</v>
      </c>
      <c r="C166" t="s">
        <v>582</v>
      </c>
      <c r="D166" t="s">
        <v>27</v>
      </c>
      <c r="E166" t="s">
        <v>48</v>
      </c>
      <c r="F166" t="s">
        <v>583</v>
      </c>
      <c r="G166">
        <v>3</v>
      </c>
      <c r="H166">
        <v>1340.84</v>
      </c>
      <c r="I166">
        <v>0.15</v>
      </c>
      <c r="J166">
        <v>3419.14</v>
      </c>
      <c r="K166">
        <v>554.85</v>
      </c>
      <c r="L166">
        <v>4.3</v>
      </c>
      <c r="M166" s="53">
        <v>45025</v>
      </c>
      <c r="N166" t="s">
        <v>22</v>
      </c>
      <c r="O166" t="s">
        <v>57</v>
      </c>
      <c r="P166" s="54">
        <v>0.162277648765479</v>
      </c>
    </row>
    <row r="167" spans="1:16">
      <c r="A167" t="s">
        <v>584</v>
      </c>
      <c r="B167" t="s">
        <v>220</v>
      </c>
      <c r="C167" t="s">
        <v>585</v>
      </c>
      <c r="D167" t="s">
        <v>19</v>
      </c>
      <c r="E167" t="s">
        <v>129</v>
      </c>
      <c r="F167" t="s">
        <v>302</v>
      </c>
      <c r="G167">
        <v>2</v>
      </c>
      <c r="H167">
        <v>11694.01</v>
      </c>
      <c r="I167">
        <v>0.15</v>
      </c>
      <c r="J167">
        <v>19879.82</v>
      </c>
      <c r="K167">
        <v>3881.13</v>
      </c>
      <c r="L167">
        <v>1.9</v>
      </c>
      <c r="M167" s="53">
        <v>44941</v>
      </c>
      <c r="N167" t="s">
        <v>22</v>
      </c>
      <c r="O167" t="s">
        <v>31</v>
      </c>
      <c r="P167" s="54">
        <v>0.19522963487597</v>
      </c>
    </row>
    <row r="168" spans="1:16">
      <c r="A168" t="s">
        <v>586</v>
      </c>
      <c r="B168" t="s">
        <v>587</v>
      </c>
      <c r="C168" t="s">
        <v>588</v>
      </c>
      <c r="D168" t="s">
        <v>27</v>
      </c>
      <c r="E168" t="s">
        <v>48</v>
      </c>
      <c r="F168" t="s">
        <v>583</v>
      </c>
      <c r="G168">
        <v>1</v>
      </c>
      <c r="H168">
        <v>4303.53</v>
      </c>
      <c r="I168">
        <v>0</v>
      </c>
      <c r="J168">
        <v>4303.53</v>
      </c>
      <c r="K168">
        <v>979.66</v>
      </c>
      <c r="L168">
        <v>1.3</v>
      </c>
      <c r="M168" s="53">
        <v>45405</v>
      </c>
      <c r="N168" t="s">
        <v>43</v>
      </c>
      <c r="O168" t="s">
        <v>44</v>
      </c>
      <c r="P168" s="54">
        <v>0.227641029573397</v>
      </c>
    </row>
    <row r="169" spans="1:16">
      <c r="A169" t="s">
        <v>589</v>
      </c>
      <c r="B169" t="s">
        <v>590</v>
      </c>
      <c r="C169" t="s">
        <v>591</v>
      </c>
      <c r="D169" t="s">
        <v>40</v>
      </c>
      <c r="E169" t="s">
        <v>174</v>
      </c>
      <c r="F169" t="s">
        <v>313</v>
      </c>
      <c r="G169">
        <v>3</v>
      </c>
      <c r="H169">
        <v>16674.55</v>
      </c>
      <c r="I169">
        <v>0.1</v>
      </c>
      <c r="J169">
        <v>45021.28</v>
      </c>
      <c r="K169">
        <v>9266.69</v>
      </c>
      <c r="L169">
        <v>4</v>
      </c>
      <c r="M169" s="53">
        <v>45443</v>
      </c>
      <c r="N169" t="s">
        <v>56</v>
      </c>
      <c r="O169" t="s">
        <v>57</v>
      </c>
      <c r="P169" s="54">
        <v>0.205829110145247</v>
      </c>
    </row>
    <row r="170" spans="1:16">
      <c r="A170" t="s">
        <v>592</v>
      </c>
      <c r="B170" t="s">
        <v>593</v>
      </c>
      <c r="C170" t="s">
        <v>594</v>
      </c>
      <c r="D170" t="s">
        <v>53</v>
      </c>
      <c r="E170" t="s">
        <v>100</v>
      </c>
      <c r="F170" t="s">
        <v>271</v>
      </c>
      <c r="G170">
        <v>4</v>
      </c>
      <c r="H170">
        <v>19003.71</v>
      </c>
      <c r="I170">
        <v>0.15</v>
      </c>
      <c r="J170">
        <v>64612.61</v>
      </c>
      <c r="K170">
        <v>11353.39</v>
      </c>
      <c r="L170">
        <v>3</v>
      </c>
      <c r="M170" s="53">
        <v>45126</v>
      </c>
      <c r="N170" t="s">
        <v>43</v>
      </c>
      <c r="O170" t="s">
        <v>44</v>
      </c>
      <c r="P170" s="54">
        <v>0.175714771466437</v>
      </c>
    </row>
    <row r="171" spans="1:16">
      <c r="A171" t="s">
        <v>595</v>
      </c>
      <c r="B171" t="s">
        <v>596</v>
      </c>
      <c r="C171" t="s">
        <v>597</v>
      </c>
      <c r="D171" t="s">
        <v>19</v>
      </c>
      <c r="E171" t="s">
        <v>129</v>
      </c>
      <c r="F171" t="s">
        <v>130</v>
      </c>
      <c r="G171">
        <v>4</v>
      </c>
      <c r="H171">
        <v>8685.07</v>
      </c>
      <c r="I171">
        <v>0</v>
      </c>
      <c r="J171">
        <v>34740.28</v>
      </c>
      <c r="K171">
        <v>5553.2</v>
      </c>
      <c r="L171">
        <v>3.1</v>
      </c>
      <c r="M171" s="53">
        <v>45557</v>
      </c>
      <c r="N171" t="s">
        <v>30</v>
      </c>
      <c r="O171" t="s">
        <v>57</v>
      </c>
      <c r="P171" s="54">
        <v>0.159849028274959</v>
      </c>
    </row>
    <row r="172" spans="1:16">
      <c r="A172" t="s">
        <v>598</v>
      </c>
      <c r="B172" t="s">
        <v>599</v>
      </c>
      <c r="C172" t="s">
        <v>600</v>
      </c>
      <c r="D172" t="s">
        <v>40</v>
      </c>
      <c r="E172" t="s">
        <v>262</v>
      </c>
      <c r="F172" t="s">
        <v>345</v>
      </c>
      <c r="G172">
        <v>3</v>
      </c>
      <c r="H172">
        <v>7455.06</v>
      </c>
      <c r="I172">
        <v>0.2</v>
      </c>
      <c r="J172">
        <v>17892.14</v>
      </c>
      <c r="K172">
        <v>3569.63</v>
      </c>
      <c r="L172">
        <v>1.9</v>
      </c>
      <c r="M172" s="53">
        <v>45587</v>
      </c>
      <c r="N172" t="s">
        <v>43</v>
      </c>
      <c r="O172" t="s">
        <v>57</v>
      </c>
      <c r="P172" s="54">
        <v>0.19950827570095</v>
      </c>
    </row>
    <row r="173" spans="1:16">
      <c r="A173" t="s">
        <v>601</v>
      </c>
      <c r="B173" t="s">
        <v>404</v>
      </c>
      <c r="C173" t="s">
        <v>602</v>
      </c>
      <c r="D173" t="s">
        <v>27</v>
      </c>
      <c r="E173" t="s">
        <v>28</v>
      </c>
      <c r="F173" t="s">
        <v>225</v>
      </c>
      <c r="G173">
        <v>1</v>
      </c>
      <c r="H173">
        <v>10132.18</v>
      </c>
      <c r="I173">
        <v>0.2</v>
      </c>
      <c r="J173">
        <v>8105.74</v>
      </c>
      <c r="K173">
        <v>930.35</v>
      </c>
      <c r="L173">
        <v>4.5</v>
      </c>
      <c r="M173" s="53">
        <v>45285</v>
      </c>
      <c r="N173" t="s">
        <v>30</v>
      </c>
      <c r="O173" t="s">
        <v>23</v>
      </c>
      <c r="P173" s="54">
        <v>0.114776689111666</v>
      </c>
    </row>
    <row r="174" spans="1:16">
      <c r="A174" t="s">
        <v>603</v>
      </c>
      <c r="B174" t="s">
        <v>604</v>
      </c>
      <c r="C174" t="s">
        <v>605</v>
      </c>
      <c r="D174" t="s">
        <v>27</v>
      </c>
      <c r="E174" t="s">
        <v>233</v>
      </c>
      <c r="F174" t="s">
        <v>606</v>
      </c>
      <c r="G174">
        <v>3</v>
      </c>
      <c r="H174">
        <v>13160.46</v>
      </c>
      <c r="I174">
        <v>0.15</v>
      </c>
      <c r="J174">
        <v>33559.17</v>
      </c>
      <c r="K174">
        <v>2159.78</v>
      </c>
      <c r="L174">
        <v>3.2</v>
      </c>
      <c r="M174" s="53">
        <v>45438</v>
      </c>
      <c r="N174" t="s">
        <v>56</v>
      </c>
      <c r="O174" t="s">
        <v>44</v>
      </c>
      <c r="P174" s="54">
        <v>0.0643573723664799</v>
      </c>
    </row>
    <row r="175" spans="1:16">
      <c r="A175" t="s">
        <v>607</v>
      </c>
      <c r="B175" t="s">
        <v>608</v>
      </c>
      <c r="C175" t="s">
        <v>609</v>
      </c>
      <c r="D175" t="s">
        <v>53</v>
      </c>
      <c r="E175" t="s">
        <v>54</v>
      </c>
      <c r="F175" t="s">
        <v>249</v>
      </c>
      <c r="G175">
        <v>4</v>
      </c>
      <c r="H175">
        <v>15662.03</v>
      </c>
      <c r="I175">
        <v>0</v>
      </c>
      <c r="J175">
        <v>62648.12</v>
      </c>
      <c r="K175">
        <v>4297.48</v>
      </c>
      <c r="L175">
        <v>3.3</v>
      </c>
      <c r="M175" s="53">
        <v>45132</v>
      </c>
      <c r="N175" t="s">
        <v>43</v>
      </c>
      <c r="O175" t="s">
        <v>57</v>
      </c>
      <c r="P175" s="54">
        <v>0.0685971103362718</v>
      </c>
    </row>
    <row r="176" spans="1:16">
      <c r="A176" t="s">
        <v>610</v>
      </c>
      <c r="B176" t="s">
        <v>611</v>
      </c>
      <c r="C176" t="s">
        <v>612</v>
      </c>
      <c r="D176" t="s">
        <v>53</v>
      </c>
      <c r="E176" t="s">
        <v>54</v>
      </c>
      <c r="F176" t="s">
        <v>258</v>
      </c>
      <c r="G176">
        <v>3</v>
      </c>
      <c r="H176">
        <v>1917.81</v>
      </c>
      <c r="I176">
        <v>0</v>
      </c>
      <c r="J176">
        <v>5753.43</v>
      </c>
      <c r="K176">
        <v>1072.64</v>
      </c>
      <c r="L176">
        <v>2.2</v>
      </c>
      <c r="M176" s="53">
        <v>45142</v>
      </c>
      <c r="N176" t="s">
        <v>56</v>
      </c>
      <c r="O176" t="s">
        <v>23</v>
      </c>
      <c r="P176" s="54">
        <v>0.18643487450095</v>
      </c>
    </row>
    <row r="177" spans="1:16">
      <c r="A177" t="s">
        <v>613</v>
      </c>
      <c r="B177" t="s">
        <v>315</v>
      </c>
      <c r="C177" t="s">
        <v>614</v>
      </c>
      <c r="D177" t="s">
        <v>53</v>
      </c>
      <c r="E177" t="s">
        <v>100</v>
      </c>
      <c r="F177" t="s">
        <v>271</v>
      </c>
      <c r="G177">
        <v>1</v>
      </c>
      <c r="H177">
        <v>8734.6</v>
      </c>
      <c r="I177">
        <v>0.15</v>
      </c>
      <c r="J177">
        <v>7424.41</v>
      </c>
      <c r="K177">
        <v>654.13</v>
      </c>
      <c r="L177">
        <v>4.9</v>
      </c>
      <c r="M177" s="53">
        <v>45356</v>
      </c>
      <c r="N177" t="s">
        <v>56</v>
      </c>
      <c r="O177" t="s">
        <v>73</v>
      </c>
      <c r="P177" s="54">
        <v>0.0881053174595692</v>
      </c>
    </row>
    <row r="178" spans="1:16">
      <c r="A178" t="s">
        <v>615</v>
      </c>
      <c r="B178" t="s">
        <v>254</v>
      </c>
      <c r="C178" t="s">
        <v>616</v>
      </c>
      <c r="D178" t="s">
        <v>27</v>
      </c>
      <c r="E178" t="s">
        <v>28</v>
      </c>
      <c r="F178" t="s">
        <v>105</v>
      </c>
      <c r="G178">
        <v>2</v>
      </c>
      <c r="H178">
        <v>7557.88</v>
      </c>
      <c r="I178">
        <v>0.2</v>
      </c>
      <c r="J178">
        <v>12092.61</v>
      </c>
      <c r="K178">
        <v>1190.12</v>
      </c>
      <c r="L178">
        <v>2.7</v>
      </c>
      <c r="M178" s="53">
        <v>44997</v>
      </c>
      <c r="N178" t="s">
        <v>56</v>
      </c>
      <c r="O178" t="s">
        <v>23</v>
      </c>
      <c r="P178" s="54">
        <v>0.0984171324470069</v>
      </c>
    </row>
    <row r="179" spans="1:16">
      <c r="A179" t="s">
        <v>617</v>
      </c>
      <c r="B179" t="s">
        <v>618</v>
      </c>
      <c r="C179" t="s">
        <v>619</v>
      </c>
      <c r="D179" t="s">
        <v>19</v>
      </c>
      <c r="E179" t="s">
        <v>86</v>
      </c>
      <c r="F179" t="s">
        <v>87</v>
      </c>
      <c r="G179">
        <v>2</v>
      </c>
      <c r="H179">
        <v>7365.41</v>
      </c>
      <c r="I179">
        <v>0.2</v>
      </c>
      <c r="J179">
        <v>11784.66</v>
      </c>
      <c r="K179">
        <v>2381.28</v>
      </c>
      <c r="L179">
        <v>2.5</v>
      </c>
      <c r="M179" s="53">
        <v>45020</v>
      </c>
      <c r="N179" t="s">
        <v>56</v>
      </c>
      <c r="O179" t="s">
        <v>44</v>
      </c>
      <c r="P179" s="54">
        <v>0.202066075728956</v>
      </c>
    </row>
    <row r="180" spans="1:16">
      <c r="A180" t="s">
        <v>620</v>
      </c>
      <c r="B180" t="s">
        <v>621</v>
      </c>
      <c r="C180" t="s">
        <v>622</v>
      </c>
      <c r="D180" t="s">
        <v>19</v>
      </c>
      <c r="E180" t="s">
        <v>129</v>
      </c>
      <c r="F180" t="s">
        <v>320</v>
      </c>
      <c r="G180">
        <v>3</v>
      </c>
      <c r="H180">
        <v>11451.87</v>
      </c>
      <c r="I180">
        <v>0.15</v>
      </c>
      <c r="J180">
        <v>29202.27</v>
      </c>
      <c r="K180">
        <v>1644.44</v>
      </c>
      <c r="L180">
        <v>4.2</v>
      </c>
      <c r="M180" s="53">
        <v>45282</v>
      </c>
      <c r="N180" t="s">
        <v>43</v>
      </c>
      <c r="O180" t="s">
        <v>44</v>
      </c>
      <c r="P180" s="54">
        <v>0.0563120606719957</v>
      </c>
    </row>
    <row r="181" spans="1:16">
      <c r="A181" t="s">
        <v>623</v>
      </c>
      <c r="B181" t="s">
        <v>624</v>
      </c>
      <c r="C181" t="s">
        <v>625</v>
      </c>
      <c r="D181" t="s">
        <v>27</v>
      </c>
      <c r="E181" t="s">
        <v>117</v>
      </c>
      <c r="F181" t="s">
        <v>118</v>
      </c>
      <c r="G181">
        <v>3</v>
      </c>
      <c r="H181">
        <v>11901.54</v>
      </c>
      <c r="I181">
        <v>0</v>
      </c>
      <c r="J181">
        <v>35704.62</v>
      </c>
      <c r="K181">
        <v>5494.06</v>
      </c>
      <c r="L181">
        <v>3</v>
      </c>
      <c r="M181" s="53">
        <v>45554</v>
      </c>
      <c r="N181" t="s">
        <v>43</v>
      </c>
      <c r="O181" t="s">
        <v>57</v>
      </c>
      <c r="P181" s="54">
        <v>0.153875324817909</v>
      </c>
    </row>
    <row r="182" spans="1:16">
      <c r="A182" t="s">
        <v>626</v>
      </c>
      <c r="B182" t="s">
        <v>627</v>
      </c>
      <c r="C182" t="s">
        <v>628</v>
      </c>
      <c r="D182" t="s">
        <v>27</v>
      </c>
      <c r="E182" t="s">
        <v>233</v>
      </c>
      <c r="F182" t="s">
        <v>362</v>
      </c>
      <c r="G182">
        <v>5</v>
      </c>
      <c r="H182">
        <v>10923.68</v>
      </c>
      <c r="I182">
        <v>0.1</v>
      </c>
      <c r="J182">
        <v>49156.56</v>
      </c>
      <c r="K182">
        <v>10595.51</v>
      </c>
      <c r="L182">
        <v>3.6</v>
      </c>
      <c r="M182" s="53">
        <v>45627</v>
      </c>
      <c r="N182" t="s">
        <v>22</v>
      </c>
      <c r="O182" t="s">
        <v>73</v>
      </c>
      <c r="P182" s="54">
        <v>0.215546205837024</v>
      </c>
    </row>
    <row r="183" spans="1:16">
      <c r="A183" t="s">
        <v>629</v>
      </c>
      <c r="B183" t="s">
        <v>630</v>
      </c>
      <c r="C183" t="s">
        <v>631</v>
      </c>
      <c r="D183" t="s">
        <v>19</v>
      </c>
      <c r="E183" t="s">
        <v>20</v>
      </c>
      <c r="F183" t="s">
        <v>121</v>
      </c>
      <c r="G183">
        <v>3</v>
      </c>
      <c r="H183">
        <v>9960.34</v>
      </c>
      <c r="I183">
        <v>0</v>
      </c>
      <c r="J183">
        <v>29881.02</v>
      </c>
      <c r="K183">
        <v>4902.13</v>
      </c>
      <c r="L183">
        <v>3.9</v>
      </c>
      <c r="M183" s="53">
        <v>45457</v>
      </c>
      <c r="N183" t="s">
        <v>56</v>
      </c>
      <c r="O183" t="s">
        <v>31</v>
      </c>
      <c r="P183" s="54">
        <v>0.164054975365633</v>
      </c>
    </row>
    <row r="184" spans="1:16">
      <c r="A184" t="s">
        <v>632</v>
      </c>
      <c r="B184" t="s">
        <v>633</v>
      </c>
      <c r="C184" t="s">
        <v>634</v>
      </c>
      <c r="D184" t="s">
        <v>53</v>
      </c>
      <c r="E184" t="s">
        <v>71</v>
      </c>
      <c r="F184" t="s">
        <v>150</v>
      </c>
      <c r="G184">
        <v>1</v>
      </c>
      <c r="H184">
        <v>13141.73</v>
      </c>
      <c r="I184">
        <v>0.2</v>
      </c>
      <c r="J184">
        <v>10513.38</v>
      </c>
      <c r="K184">
        <v>2115.52</v>
      </c>
      <c r="L184">
        <v>1.3</v>
      </c>
      <c r="M184" s="53">
        <v>45178</v>
      </c>
      <c r="N184" t="s">
        <v>56</v>
      </c>
      <c r="O184" t="s">
        <v>44</v>
      </c>
      <c r="P184" s="54">
        <v>0.201221681324179</v>
      </c>
    </row>
    <row r="185" spans="1:16">
      <c r="A185" t="s">
        <v>635</v>
      </c>
      <c r="B185" t="s">
        <v>636</v>
      </c>
      <c r="C185" t="s">
        <v>637</v>
      </c>
      <c r="D185" t="s">
        <v>40</v>
      </c>
      <c r="E185" t="s">
        <v>174</v>
      </c>
      <c r="F185" t="s">
        <v>175</v>
      </c>
      <c r="G185">
        <v>2</v>
      </c>
      <c r="H185">
        <v>10312.73</v>
      </c>
      <c r="I185">
        <v>0</v>
      </c>
      <c r="J185">
        <v>20625.46</v>
      </c>
      <c r="K185">
        <v>1078.09</v>
      </c>
      <c r="L185">
        <v>2.8</v>
      </c>
      <c r="M185" s="53">
        <v>45020</v>
      </c>
      <c r="N185" t="s">
        <v>30</v>
      </c>
      <c r="O185" t="s">
        <v>23</v>
      </c>
      <c r="P185" s="54">
        <v>0.0522698645266578</v>
      </c>
    </row>
    <row r="186" spans="1:16">
      <c r="A186" t="s">
        <v>638</v>
      </c>
      <c r="B186" t="s">
        <v>639</v>
      </c>
      <c r="C186" t="s">
        <v>640</v>
      </c>
      <c r="D186" t="s">
        <v>19</v>
      </c>
      <c r="E186" t="s">
        <v>129</v>
      </c>
      <c r="F186" t="s">
        <v>302</v>
      </c>
      <c r="G186">
        <v>1</v>
      </c>
      <c r="H186">
        <v>13360.7</v>
      </c>
      <c r="I186">
        <v>0.2</v>
      </c>
      <c r="J186">
        <v>10688.56</v>
      </c>
      <c r="K186">
        <v>671.72</v>
      </c>
      <c r="L186">
        <v>4.8</v>
      </c>
      <c r="M186" s="53">
        <v>44955</v>
      </c>
      <c r="N186" t="s">
        <v>22</v>
      </c>
      <c r="O186" t="s">
        <v>44</v>
      </c>
      <c r="P186" s="54">
        <v>0.0628447611277852</v>
      </c>
    </row>
    <row r="187" spans="1:16">
      <c r="A187" t="s">
        <v>641</v>
      </c>
      <c r="B187" t="s">
        <v>642</v>
      </c>
      <c r="C187" t="s">
        <v>643</v>
      </c>
      <c r="D187" t="s">
        <v>27</v>
      </c>
      <c r="E187" t="s">
        <v>28</v>
      </c>
      <c r="F187" t="s">
        <v>29</v>
      </c>
      <c r="G187">
        <v>4</v>
      </c>
      <c r="H187">
        <v>17786.19</v>
      </c>
      <c r="I187">
        <v>0</v>
      </c>
      <c r="J187">
        <v>71144.76</v>
      </c>
      <c r="K187">
        <v>14651.05</v>
      </c>
      <c r="L187">
        <v>4.9</v>
      </c>
      <c r="M187" s="53">
        <v>45156</v>
      </c>
      <c r="N187" t="s">
        <v>22</v>
      </c>
      <c r="O187" t="s">
        <v>31</v>
      </c>
      <c r="P187" s="54">
        <v>0.205932945729243</v>
      </c>
    </row>
    <row r="188" spans="1:16">
      <c r="A188" t="s">
        <v>644</v>
      </c>
      <c r="B188" t="s">
        <v>645</v>
      </c>
      <c r="C188" t="s">
        <v>646</v>
      </c>
      <c r="D188" t="s">
        <v>19</v>
      </c>
      <c r="E188" t="s">
        <v>35</v>
      </c>
      <c r="F188" t="s">
        <v>215</v>
      </c>
      <c r="G188">
        <v>5</v>
      </c>
      <c r="H188">
        <v>18591.79</v>
      </c>
      <c r="I188">
        <v>0.15</v>
      </c>
      <c r="J188">
        <v>79015.11</v>
      </c>
      <c r="K188">
        <v>11462.75</v>
      </c>
      <c r="L188">
        <v>2.7</v>
      </c>
      <c r="M188" s="53">
        <v>45001</v>
      </c>
      <c r="N188" t="s">
        <v>30</v>
      </c>
      <c r="O188" t="s">
        <v>73</v>
      </c>
      <c r="P188" s="54">
        <v>0.145070354265153</v>
      </c>
    </row>
    <row r="189" spans="1:16">
      <c r="A189" t="s">
        <v>647</v>
      </c>
      <c r="B189" t="s">
        <v>648</v>
      </c>
      <c r="C189" t="s">
        <v>649</v>
      </c>
      <c r="D189" t="s">
        <v>53</v>
      </c>
      <c r="E189" t="s">
        <v>100</v>
      </c>
      <c r="F189" t="s">
        <v>229</v>
      </c>
      <c r="G189">
        <v>2</v>
      </c>
      <c r="H189">
        <v>11277.97</v>
      </c>
      <c r="I189">
        <v>0</v>
      </c>
      <c r="J189">
        <v>22555.94</v>
      </c>
      <c r="K189">
        <v>2206.9</v>
      </c>
      <c r="L189">
        <v>1.5</v>
      </c>
      <c r="M189" s="53">
        <v>45453</v>
      </c>
      <c r="N189" t="s">
        <v>43</v>
      </c>
      <c r="O189" t="s">
        <v>23</v>
      </c>
      <c r="P189" s="54">
        <v>0.0978411895048488</v>
      </c>
    </row>
    <row r="190" spans="1:16">
      <c r="A190" t="s">
        <v>650</v>
      </c>
      <c r="B190" t="s">
        <v>651</v>
      </c>
      <c r="C190" t="s">
        <v>652</v>
      </c>
      <c r="D190" t="s">
        <v>40</v>
      </c>
      <c r="E190" t="s">
        <v>41</v>
      </c>
      <c r="F190" t="s">
        <v>91</v>
      </c>
      <c r="G190">
        <v>5</v>
      </c>
      <c r="H190">
        <v>9372.61</v>
      </c>
      <c r="I190">
        <v>0.1</v>
      </c>
      <c r="J190">
        <v>42176.75</v>
      </c>
      <c r="K190">
        <v>7947.37</v>
      </c>
      <c r="L190">
        <v>4.3</v>
      </c>
      <c r="M190" s="53">
        <v>44959</v>
      </c>
      <c r="N190" t="s">
        <v>30</v>
      </c>
      <c r="O190" t="s">
        <v>57</v>
      </c>
      <c r="P190" s="54">
        <v>0.188430118489452</v>
      </c>
    </row>
    <row r="191" spans="1:16">
      <c r="A191" t="s">
        <v>653</v>
      </c>
      <c r="B191" t="s">
        <v>654</v>
      </c>
      <c r="C191" t="s">
        <v>655</v>
      </c>
      <c r="D191" t="s">
        <v>53</v>
      </c>
      <c r="E191" t="s">
        <v>71</v>
      </c>
      <c r="F191" t="s">
        <v>225</v>
      </c>
      <c r="G191">
        <v>3</v>
      </c>
      <c r="H191">
        <v>16648.06</v>
      </c>
      <c r="I191">
        <v>0.15</v>
      </c>
      <c r="J191">
        <v>42452.55</v>
      </c>
      <c r="K191">
        <v>3986.28</v>
      </c>
      <c r="L191">
        <v>2.5</v>
      </c>
      <c r="M191" s="53">
        <v>45438</v>
      </c>
      <c r="N191" t="s">
        <v>56</v>
      </c>
      <c r="O191" t="s">
        <v>57</v>
      </c>
      <c r="P191" s="54">
        <v>0.0938996597377543</v>
      </c>
    </row>
    <row r="192" spans="1:16">
      <c r="A192" t="s">
        <v>656</v>
      </c>
      <c r="B192" t="s">
        <v>657</v>
      </c>
      <c r="C192" t="s">
        <v>658</v>
      </c>
      <c r="D192" t="s">
        <v>27</v>
      </c>
      <c r="E192" t="s">
        <v>48</v>
      </c>
      <c r="F192" t="s">
        <v>77</v>
      </c>
      <c r="G192">
        <v>4</v>
      </c>
      <c r="H192">
        <v>8603.69</v>
      </c>
      <c r="I192">
        <v>0.05</v>
      </c>
      <c r="J192">
        <v>32694.02</v>
      </c>
      <c r="K192">
        <v>2411.02</v>
      </c>
      <c r="L192">
        <v>3.2</v>
      </c>
      <c r="M192" s="53">
        <v>45547</v>
      </c>
      <c r="N192" t="s">
        <v>30</v>
      </c>
      <c r="O192" t="s">
        <v>44</v>
      </c>
      <c r="P192" s="54">
        <v>0.0737449845568089</v>
      </c>
    </row>
    <row r="193" spans="1:16">
      <c r="A193" t="s">
        <v>659</v>
      </c>
      <c r="B193" t="s">
        <v>660</v>
      </c>
      <c r="C193" t="s">
        <v>661</v>
      </c>
      <c r="D193" t="s">
        <v>19</v>
      </c>
      <c r="E193" t="s">
        <v>20</v>
      </c>
      <c r="F193" t="s">
        <v>454</v>
      </c>
      <c r="G193">
        <v>4</v>
      </c>
      <c r="H193">
        <v>16380.19</v>
      </c>
      <c r="I193">
        <v>0.1</v>
      </c>
      <c r="J193">
        <v>58968.68</v>
      </c>
      <c r="K193">
        <v>3142.23</v>
      </c>
      <c r="L193">
        <v>1.8</v>
      </c>
      <c r="M193" s="53">
        <v>45333</v>
      </c>
      <c r="N193" t="s">
        <v>56</v>
      </c>
      <c r="O193" t="s">
        <v>31</v>
      </c>
      <c r="P193" s="54">
        <v>0.0532864225551598</v>
      </c>
    </row>
    <row r="194" spans="1:16">
      <c r="A194" t="s">
        <v>662</v>
      </c>
      <c r="B194" t="s">
        <v>663</v>
      </c>
      <c r="C194" t="s">
        <v>664</v>
      </c>
      <c r="D194" t="s">
        <v>27</v>
      </c>
      <c r="E194" t="s">
        <v>233</v>
      </c>
      <c r="F194" t="s">
        <v>665</v>
      </c>
      <c r="G194">
        <v>2</v>
      </c>
      <c r="H194">
        <v>5825.99</v>
      </c>
      <c r="I194">
        <v>0.2</v>
      </c>
      <c r="J194">
        <v>9321.58</v>
      </c>
      <c r="K194">
        <v>2312.05</v>
      </c>
      <c r="L194">
        <v>4.5</v>
      </c>
      <c r="M194" s="53">
        <v>45565</v>
      </c>
      <c r="N194" t="s">
        <v>22</v>
      </c>
      <c r="O194" t="s">
        <v>23</v>
      </c>
      <c r="P194" s="54">
        <v>0.248031985993791</v>
      </c>
    </row>
    <row r="195" spans="1:16">
      <c r="A195" t="s">
        <v>666</v>
      </c>
      <c r="B195" t="s">
        <v>667</v>
      </c>
      <c r="C195" t="s">
        <v>668</v>
      </c>
      <c r="D195" t="s">
        <v>53</v>
      </c>
      <c r="E195" t="s">
        <v>54</v>
      </c>
      <c r="F195" t="s">
        <v>109</v>
      </c>
      <c r="G195">
        <v>2</v>
      </c>
      <c r="H195">
        <v>7328.28</v>
      </c>
      <c r="I195">
        <v>0.15</v>
      </c>
      <c r="J195">
        <v>12458.08</v>
      </c>
      <c r="K195">
        <v>2191.59</v>
      </c>
      <c r="L195">
        <v>2.1</v>
      </c>
      <c r="M195" s="53">
        <v>45047</v>
      </c>
      <c r="N195" t="s">
        <v>43</v>
      </c>
      <c r="O195" t="s">
        <v>44</v>
      </c>
      <c r="P195" s="54">
        <v>0.175917155773602</v>
      </c>
    </row>
    <row r="196" spans="1:16">
      <c r="A196" t="s">
        <v>669</v>
      </c>
      <c r="B196" t="s">
        <v>670</v>
      </c>
      <c r="C196" t="s">
        <v>671</v>
      </c>
      <c r="D196" t="s">
        <v>19</v>
      </c>
      <c r="E196" t="s">
        <v>20</v>
      </c>
      <c r="F196" t="s">
        <v>134</v>
      </c>
      <c r="G196">
        <v>5</v>
      </c>
      <c r="H196">
        <v>1783.77</v>
      </c>
      <c r="I196">
        <v>0.05</v>
      </c>
      <c r="J196">
        <v>8472.91</v>
      </c>
      <c r="K196">
        <v>1118.21</v>
      </c>
      <c r="L196">
        <v>3.8</v>
      </c>
      <c r="M196" s="53">
        <v>45094</v>
      </c>
      <c r="N196" t="s">
        <v>56</v>
      </c>
      <c r="O196" t="s">
        <v>73</v>
      </c>
      <c r="P196" s="54">
        <v>0.131974728871191</v>
      </c>
    </row>
    <row r="197" spans="1:16">
      <c r="A197" t="s">
        <v>672</v>
      </c>
      <c r="B197" t="s">
        <v>673</v>
      </c>
      <c r="C197" t="s">
        <v>674</v>
      </c>
      <c r="D197" t="s">
        <v>40</v>
      </c>
      <c r="E197" t="s">
        <v>81</v>
      </c>
      <c r="F197" t="s">
        <v>358</v>
      </c>
      <c r="G197">
        <v>5</v>
      </c>
      <c r="H197">
        <v>9962.48</v>
      </c>
      <c r="I197">
        <v>0.15</v>
      </c>
      <c r="J197">
        <v>42340.54</v>
      </c>
      <c r="K197">
        <v>7918.05</v>
      </c>
      <c r="L197">
        <v>2.3</v>
      </c>
      <c r="M197" s="53">
        <v>45349</v>
      </c>
      <c r="N197" t="s">
        <v>22</v>
      </c>
      <c r="O197" t="s">
        <v>73</v>
      </c>
      <c r="P197" s="54">
        <v>0.187008715524176</v>
      </c>
    </row>
    <row r="198" spans="1:16">
      <c r="A198" t="s">
        <v>675</v>
      </c>
      <c r="B198" t="s">
        <v>676</v>
      </c>
      <c r="C198" t="s">
        <v>677</v>
      </c>
      <c r="D198" t="s">
        <v>53</v>
      </c>
      <c r="E198" t="s">
        <v>54</v>
      </c>
      <c r="F198" t="s">
        <v>109</v>
      </c>
      <c r="G198">
        <v>2</v>
      </c>
      <c r="H198">
        <v>6474.56</v>
      </c>
      <c r="I198">
        <v>0.1</v>
      </c>
      <c r="J198">
        <v>11654.21</v>
      </c>
      <c r="K198">
        <v>661.06</v>
      </c>
      <c r="L198">
        <v>1.6</v>
      </c>
      <c r="M198" s="53">
        <v>45563</v>
      </c>
      <c r="N198" t="s">
        <v>30</v>
      </c>
      <c r="O198" t="s">
        <v>23</v>
      </c>
      <c r="P198" s="54">
        <v>0.0567228495110351</v>
      </c>
    </row>
    <row r="199" spans="1:16">
      <c r="A199" t="s">
        <v>678</v>
      </c>
      <c r="B199" t="s">
        <v>417</v>
      </c>
      <c r="C199" t="s">
        <v>679</v>
      </c>
      <c r="D199" t="s">
        <v>19</v>
      </c>
      <c r="E199" t="s">
        <v>35</v>
      </c>
      <c r="F199" t="s">
        <v>215</v>
      </c>
      <c r="G199">
        <v>3</v>
      </c>
      <c r="H199">
        <v>11673.82</v>
      </c>
      <c r="I199">
        <v>0.1</v>
      </c>
      <c r="J199">
        <v>31519.31</v>
      </c>
      <c r="K199">
        <v>5506.94</v>
      </c>
      <c r="L199">
        <v>4.7</v>
      </c>
      <c r="M199" s="53">
        <v>45021</v>
      </c>
      <c r="N199" t="s">
        <v>22</v>
      </c>
      <c r="O199" t="s">
        <v>57</v>
      </c>
      <c r="P199" s="54">
        <v>0.174716388144284</v>
      </c>
    </row>
    <row r="200" spans="1:16">
      <c r="A200" t="s">
        <v>680</v>
      </c>
      <c r="B200" t="s">
        <v>513</v>
      </c>
      <c r="C200" t="s">
        <v>681</v>
      </c>
      <c r="D200" t="s">
        <v>53</v>
      </c>
      <c r="E200" t="s">
        <v>95</v>
      </c>
      <c r="F200" t="s">
        <v>524</v>
      </c>
      <c r="G200">
        <v>1</v>
      </c>
      <c r="H200">
        <v>7153.38</v>
      </c>
      <c r="I200">
        <v>0.05</v>
      </c>
      <c r="J200">
        <v>6795.71</v>
      </c>
      <c r="K200">
        <v>1286.76</v>
      </c>
      <c r="L200">
        <v>4.5</v>
      </c>
      <c r="M200" s="53">
        <v>45541</v>
      </c>
      <c r="N200" t="s">
        <v>43</v>
      </c>
      <c r="O200" t="s">
        <v>23</v>
      </c>
      <c r="P200" s="54">
        <v>0.18934886862447</v>
      </c>
    </row>
    <row r="201" spans="1:16">
      <c r="A201" t="s">
        <v>682</v>
      </c>
      <c r="B201" t="s">
        <v>322</v>
      </c>
      <c r="C201" t="s">
        <v>683</v>
      </c>
      <c r="D201" t="s">
        <v>53</v>
      </c>
      <c r="E201" t="s">
        <v>95</v>
      </c>
      <c r="F201" t="s">
        <v>271</v>
      </c>
      <c r="G201">
        <v>2</v>
      </c>
      <c r="H201">
        <v>1309.29</v>
      </c>
      <c r="I201">
        <v>0.1</v>
      </c>
      <c r="J201">
        <v>2356.72</v>
      </c>
      <c r="K201">
        <v>192.57</v>
      </c>
      <c r="L201">
        <v>3.1</v>
      </c>
      <c r="M201" s="53">
        <v>45191</v>
      </c>
      <c r="N201" t="s">
        <v>43</v>
      </c>
      <c r="O201" t="s">
        <v>57</v>
      </c>
      <c r="P201" s="54">
        <v>0.0817110220985098</v>
      </c>
    </row>
    <row r="202" spans="1:16">
      <c r="A202" t="s">
        <v>684</v>
      </c>
      <c r="B202" t="s">
        <v>685</v>
      </c>
      <c r="C202" t="s">
        <v>305</v>
      </c>
      <c r="D202" t="s">
        <v>27</v>
      </c>
      <c r="E202" t="s">
        <v>28</v>
      </c>
      <c r="F202" t="s">
        <v>225</v>
      </c>
      <c r="G202">
        <v>2</v>
      </c>
      <c r="H202">
        <v>1528.33</v>
      </c>
      <c r="I202">
        <v>0.15</v>
      </c>
      <c r="J202">
        <v>2598.16</v>
      </c>
      <c r="K202">
        <v>599.03</v>
      </c>
      <c r="L202">
        <v>3.2</v>
      </c>
      <c r="M202" s="53">
        <v>45343</v>
      </c>
      <c r="N202" t="s">
        <v>56</v>
      </c>
      <c r="O202" t="s">
        <v>44</v>
      </c>
      <c r="P202" s="54">
        <v>0.230559318902608</v>
      </c>
    </row>
    <row r="203" spans="1:16">
      <c r="A203" t="s">
        <v>686</v>
      </c>
      <c r="B203" t="s">
        <v>687</v>
      </c>
      <c r="C203" t="s">
        <v>688</v>
      </c>
      <c r="D203" t="s">
        <v>19</v>
      </c>
      <c r="E203" t="s">
        <v>20</v>
      </c>
      <c r="F203" t="s">
        <v>21</v>
      </c>
      <c r="G203">
        <v>1</v>
      </c>
      <c r="H203">
        <v>6712.7</v>
      </c>
      <c r="I203">
        <v>0.05</v>
      </c>
      <c r="J203">
        <v>6377.06</v>
      </c>
      <c r="K203">
        <v>684.61</v>
      </c>
      <c r="L203">
        <v>1.3</v>
      </c>
      <c r="M203" s="53">
        <v>45254</v>
      </c>
      <c r="N203" t="s">
        <v>43</v>
      </c>
      <c r="O203" t="s">
        <v>44</v>
      </c>
      <c r="P203" s="54">
        <v>0.107355113484897</v>
      </c>
    </row>
    <row r="204" spans="1:16">
      <c r="A204" t="s">
        <v>689</v>
      </c>
      <c r="B204" t="s">
        <v>690</v>
      </c>
      <c r="C204" t="s">
        <v>691</v>
      </c>
      <c r="D204" t="s">
        <v>53</v>
      </c>
      <c r="E204" t="s">
        <v>71</v>
      </c>
      <c r="F204" t="s">
        <v>225</v>
      </c>
      <c r="G204">
        <v>1</v>
      </c>
      <c r="H204">
        <v>1443.95</v>
      </c>
      <c r="I204">
        <v>0.05</v>
      </c>
      <c r="J204">
        <v>1371.75</v>
      </c>
      <c r="K204">
        <v>273.65</v>
      </c>
      <c r="L204">
        <v>1.4</v>
      </c>
      <c r="M204" s="53">
        <v>45623</v>
      </c>
      <c r="N204" t="s">
        <v>30</v>
      </c>
      <c r="O204" t="s">
        <v>57</v>
      </c>
      <c r="P204" s="54">
        <v>0.199489702934208</v>
      </c>
    </row>
    <row r="205" spans="1:16">
      <c r="A205" t="s">
        <v>692</v>
      </c>
      <c r="B205" t="s">
        <v>693</v>
      </c>
      <c r="C205" t="s">
        <v>694</v>
      </c>
      <c r="D205" t="s">
        <v>53</v>
      </c>
      <c r="E205" t="s">
        <v>95</v>
      </c>
      <c r="F205" t="s">
        <v>524</v>
      </c>
      <c r="G205">
        <v>5</v>
      </c>
      <c r="H205">
        <v>9474.42</v>
      </c>
      <c r="I205">
        <v>0.1</v>
      </c>
      <c r="J205">
        <v>42634.89</v>
      </c>
      <c r="K205">
        <v>6844.82</v>
      </c>
      <c r="L205">
        <v>1.9</v>
      </c>
      <c r="M205" s="53">
        <v>45178</v>
      </c>
      <c r="N205" t="s">
        <v>30</v>
      </c>
      <c r="O205" t="s">
        <v>44</v>
      </c>
      <c r="P205" s="54">
        <v>0.160545037174952</v>
      </c>
    </row>
    <row r="206" spans="1:16">
      <c r="A206" t="s">
        <v>695</v>
      </c>
      <c r="B206" t="s">
        <v>696</v>
      </c>
      <c r="C206" t="s">
        <v>550</v>
      </c>
      <c r="D206" t="s">
        <v>53</v>
      </c>
      <c r="E206" t="s">
        <v>100</v>
      </c>
      <c r="F206" t="s">
        <v>101</v>
      </c>
      <c r="G206">
        <v>5</v>
      </c>
      <c r="H206">
        <v>449.23</v>
      </c>
      <c r="I206">
        <v>0.2</v>
      </c>
      <c r="J206">
        <v>1796.92</v>
      </c>
      <c r="K206">
        <v>202.13</v>
      </c>
      <c r="L206">
        <v>1.9</v>
      </c>
      <c r="M206" s="53">
        <v>45129</v>
      </c>
      <c r="N206" t="s">
        <v>22</v>
      </c>
      <c r="O206" t="s">
        <v>57</v>
      </c>
      <c r="P206" s="54">
        <v>0.112486922066647</v>
      </c>
    </row>
    <row r="207" spans="1:16">
      <c r="A207" t="s">
        <v>697</v>
      </c>
      <c r="B207" t="s">
        <v>698</v>
      </c>
      <c r="C207" t="s">
        <v>699</v>
      </c>
      <c r="D207" t="s">
        <v>27</v>
      </c>
      <c r="E207" t="s">
        <v>233</v>
      </c>
      <c r="F207" t="s">
        <v>606</v>
      </c>
      <c r="G207">
        <v>5</v>
      </c>
      <c r="H207">
        <v>3310.9</v>
      </c>
      <c r="I207">
        <v>0.1</v>
      </c>
      <c r="J207">
        <v>14899.05</v>
      </c>
      <c r="K207">
        <v>2527.33</v>
      </c>
      <c r="L207">
        <v>2.9</v>
      </c>
      <c r="M207" s="53">
        <v>45028</v>
      </c>
      <c r="N207" t="s">
        <v>56</v>
      </c>
      <c r="O207" t="s">
        <v>44</v>
      </c>
      <c r="P207" s="54">
        <v>0.169630278440572</v>
      </c>
    </row>
    <row r="208" spans="1:16">
      <c r="A208" t="s">
        <v>700</v>
      </c>
      <c r="B208" t="s">
        <v>701</v>
      </c>
      <c r="C208" t="s">
        <v>702</v>
      </c>
      <c r="D208" t="s">
        <v>19</v>
      </c>
      <c r="E208" t="s">
        <v>86</v>
      </c>
      <c r="F208" t="s">
        <v>113</v>
      </c>
      <c r="G208">
        <v>4</v>
      </c>
      <c r="H208">
        <v>2102.67</v>
      </c>
      <c r="I208">
        <v>0.2</v>
      </c>
      <c r="J208">
        <v>6728.54</v>
      </c>
      <c r="K208">
        <v>466.89</v>
      </c>
      <c r="L208">
        <v>3.8</v>
      </c>
      <c r="M208" s="53">
        <v>45256</v>
      </c>
      <c r="N208" t="s">
        <v>43</v>
      </c>
      <c r="O208" t="s">
        <v>44</v>
      </c>
      <c r="P208" s="54">
        <v>0.0693894960868182</v>
      </c>
    </row>
    <row r="209" spans="1:16">
      <c r="A209" t="s">
        <v>703</v>
      </c>
      <c r="B209" t="s">
        <v>704</v>
      </c>
      <c r="C209" t="s">
        <v>705</v>
      </c>
      <c r="D209" t="s">
        <v>53</v>
      </c>
      <c r="E209" t="s">
        <v>54</v>
      </c>
      <c r="F209" t="s">
        <v>258</v>
      </c>
      <c r="G209">
        <v>1</v>
      </c>
      <c r="H209">
        <v>11331.04</v>
      </c>
      <c r="I209">
        <v>0.1</v>
      </c>
      <c r="J209">
        <v>10197.94</v>
      </c>
      <c r="K209">
        <v>1235.54</v>
      </c>
      <c r="L209">
        <v>2.9</v>
      </c>
      <c r="M209" s="53">
        <v>45622</v>
      </c>
      <c r="N209" t="s">
        <v>56</v>
      </c>
      <c r="O209" t="s">
        <v>31</v>
      </c>
      <c r="P209" s="54">
        <v>0.121155841277748</v>
      </c>
    </row>
    <row r="210" spans="1:16">
      <c r="A210" t="s">
        <v>706</v>
      </c>
      <c r="B210" t="s">
        <v>707</v>
      </c>
      <c r="C210" t="s">
        <v>708</v>
      </c>
      <c r="D210" t="s">
        <v>27</v>
      </c>
      <c r="E210" t="s">
        <v>28</v>
      </c>
      <c r="F210" t="s">
        <v>29</v>
      </c>
      <c r="G210">
        <v>3</v>
      </c>
      <c r="H210">
        <v>13698.47</v>
      </c>
      <c r="I210">
        <v>0.05</v>
      </c>
      <c r="J210">
        <v>39040.64</v>
      </c>
      <c r="K210">
        <v>3436.06</v>
      </c>
      <c r="L210">
        <v>3.8</v>
      </c>
      <c r="M210" s="53">
        <v>45366</v>
      </c>
      <c r="N210" t="s">
        <v>22</v>
      </c>
      <c r="O210" t="s">
        <v>57</v>
      </c>
      <c r="P210" s="54">
        <v>0.0880123891411616</v>
      </c>
    </row>
    <row r="211" spans="1:16">
      <c r="A211" t="s">
        <v>709</v>
      </c>
      <c r="B211" t="s">
        <v>710</v>
      </c>
      <c r="C211" t="s">
        <v>711</v>
      </c>
      <c r="D211" t="s">
        <v>40</v>
      </c>
      <c r="E211" t="s">
        <v>81</v>
      </c>
      <c r="F211" t="s">
        <v>241</v>
      </c>
      <c r="G211">
        <v>2</v>
      </c>
      <c r="H211">
        <v>8549.37</v>
      </c>
      <c r="I211">
        <v>0.15</v>
      </c>
      <c r="J211">
        <v>14533.93</v>
      </c>
      <c r="K211">
        <v>2391.02</v>
      </c>
      <c r="L211">
        <v>3.3</v>
      </c>
      <c r="M211" s="53">
        <v>45580</v>
      </c>
      <c r="N211" t="s">
        <v>56</v>
      </c>
      <c r="O211" t="s">
        <v>57</v>
      </c>
      <c r="P211" s="54">
        <v>0.164512970683084</v>
      </c>
    </row>
    <row r="212" spans="1:16">
      <c r="A212" t="s">
        <v>712</v>
      </c>
      <c r="B212" t="s">
        <v>713</v>
      </c>
      <c r="C212" t="s">
        <v>714</v>
      </c>
      <c r="D212" t="s">
        <v>27</v>
      </c>
      <c r="E212" t="s">
        <v>28</v>
      </c>
      <c r="F212" t="s">
        <v>105</v>
      </c>
      <c r="G212">
        <v>3</v>
      </c>
      <c r="H212">
        <v>14208.08</v>
      </c>
      <c r="I212">
        <v>0.2</v>
      </c>
      <c r="J212">
        <v>34099.39</v>
      </c>
      <c r="K212">
        <v>7390.63</v>
      </c>
      <c r="L212">
        <v>3.4</v>
      </c>
      <c r="M212" s="53">
        <v>45172</v>
      </c>
      <c r="N212" t="s">
        <v>56</v>
      </c>
      <c r="O212" t="s">
        <v>57</v>
      </c>
      <c r="P212" s="54">
        <v>0.216737894724803</v>
      </c>
    </row>
    <row r="213" spans="1:16">
      <c r="A213" t="s">
        <v>715</v>
      </c>
      <c r="B213" t="s">
        <v>156</v>
      </c>
      <c r="C213" t="s">
        <v>716</v>
      </c>
      <c r="D213" t="s">
        <v>53</v>
      </c>
      <c r="E213" t="s">
        <v>54</v>
      </c>
      <c r="F213" t="s">
        <v>249</v>
      </c>
      <c r="G213">
        <v>1</v>
      </c>
      <c r="H213">
        <v>13962.41</v>
      </c>
      <c r="I213">
        <v>0.05</v>
      </c>
      <c r="J213">
        <v>13264.29</v>
      </c>
      <c r="K213">
        <v>1806.74</v>
      </c>
      <c r="L213">
        <v>1.3</v>
      </c>
      <c r="M213" s="53">
        <v>45574</v>
      </c>
      <c r="N213" t="s">
        <v>22</v>
      </c>
      <c r="O213" t="s">
        <v>31</v>
      </c>
      <c r="P213" s="54">
        <v>0.136210833749865</v>
      </c>
    </row>
    <row r="214" spans="1:16">
      <c r="A214" t="s">
        <v>717</v>
      </c>
      <c r="B214" t="s">
        <v>718</v>
      </c>
      <c r="C214" t="s">
        <v>719</v>
      </c>
      <c r="D214" t="s">
        <v>19</v>
      </c>
      <c r="E214" t="s">
        <v>20</v>
      </c>
      <c r="F214" t="s">
        <v>21</v>
      </c>
      <c r="G214">
        <v>1</v>
      </c>
      <c r="H214">
        <v>17282.83</v>
      </c>
      <c r="I214">
        <v>0.2</v>
      </c>
      <c r="J214">
        <v>13826.26</v>
      </c>
      <c r="K214">
        <v>2491.47</v>
      </c>
      <c r="L214">
        <v>1.4</v>
      </c>
      <c r="M214" s="53">
        <v>45216</v>
      </c>
      <c r="N214" t="s">
        <v>30</v>
      </c>
      <c r="O214" t="s">
        <v>73</v>
      </c>
      <c r="P214" s="54">
        <v>0.180198405063987</v>
      </c>
    </row>
    <row r="215" spans="1:16">
      <c r="A215" t="s">
        <v>720</v>
      </c>
      <c r="B215" t="s">
        <v>721</v>
      </c>
      <c r="C215" t="s">
        <v>722</v>
      </c>
      <c r="D215" t="s">
        <v>40</v>
      </c>
      <c r="E215" t="s">
        <v>41</v>
      </c>
      <c r="F215" t="s">
        <v>91</v>
      </c>
      <c r="G215">
        <v>5</v>
      </c>
      <c r="H215">
        <v>13380.66</v>
      </c>
      <c r="I215">
        <v>0</v>
      </c>
      <c r="J215">
        <v>66903.3</v>
      </c>
      <c r="K215">
        <v>5511.41</v>
      </c>
      <c r="L215">
        <v>1.7</v>
      </c>
      <c r="M215" s="53">
        <v>45611</v>
      </c>
      <c r="N215" t="s">
        <v>30</v>
      </c>
      <c r="O215" t="s">
        <v>31</v>
      </c>
      <c r="P215" s="54">
        <v>0.0823787466388056</v>
      </c>
    </row>
    <row r="216" spans="1:16">
      <c r="A216" t="s">
        <v>723</v>
      </c>
      <c r="B216" t="s">
        <v>724</v>
      </c>
      <c r="C216" t="s">
        <v>725</v>
      </c>
      <c r="D216" t="s">
        <v>53</v>
      </c>
      <c r="E216" t="s">
        <v>71</v>
      </c>
      <c r="F216" t="s">
        <v>150</v>
      </c>
      <c r="G216">
        <v>2</v>
      </c>
      <c r="H216">
        <v>14966.08</v>
      </c>
      <c r="I216">
        <v>0.1</v>
      </c>
      <c r="J216">
        <v>26938.94</v>
      </c>
      <c r="K216">
        <v>2582.64</v>
      </c>
      <c r="L216">
        <v>2.3</v>
      </c>
      <c r="M216" s="53">
        <v>45297</v>
      </c>
      <c r="N216" t="s">
        <v>43</v>
      </c>
      <c r="O216" t="s">
        <v>73</v>
      </c>
      <c r="P216" s="54">
        <v>0.0958701418838306</v>
      </c>
    </row>
    <row r="217" spans="1:16">
      <c r="A217" t="s">
        <v>726</v>
      </c>
      <c r="B217" t="s">
        <v>727</v>
      </c>
      <c r="C217" t="s">
        <v>728</v>
      </c>
      <c r="D217" t="s">
        <v>53</v>
      </c>
      <c r="E217" t="s">
        <v>71</v>
      </c>
      <c r="F217" t="s">
        <v>72</v>
      </c>
      <c r="G217">
        <v>1</v>
      </c>
      <c r="H217">
        <v>8136.69</v>
      </c>
      <c r="I217">
        <v>0.05</v>
      </c>
      <c r="J217">
        <v>7729.86</v>
      </c>
      <c r="K217">
        <v>1492.12</v>
      </c>
      <c r="L217">
        <v>2.7</v>
      </c>
      <c r="M217" s="53">
        <v>45611</v>
      </c>
      <c r="N217" t="s">
        <v>43</v>
      </c>
      <c r="O217" t="s">
        <v>31</v>
      </c>
      <c r="P217" s="54">
        <v>0.193033250278789</v>
      </c>
    </row>
    <row r="218" spans="1:16">
      <c r="A218" t="s">
        <v>729</v>
      </c>
      <c r="B218" t="s">
        <v>491</v>
      </c>
      <c r="C218" t="s">
        <v>730</v>
      </c>
      <c r="D218" t="s">
        <v>40</v>
      </c>
      <c r="E218" t="s">
        <v>41</v>
      </c>
      <c r="F218" t="s">
        <v>125</v>
      </c>
      <c r="G218">
        <v>1</v>
      </c>
      <c r="H218">
        <v>5952.99</v>
      </c>
      <c r="I218">
        <v>0.1</v>
      </c>
      <c r="J218">
        <v>5357.69</v>
      </c>
      <c r="K218">
        <v>528.35</v>
      </c>
      <c r="L218">
        <v>1.8</v>
      </c>
      <c r="M218" s="53">
        <v>45552</v>
      </c>
      <c r="N218" t="s">
        <v>56</v>
      </c>
      <c r="O218" t="s">
        <v>73</v>
      </c>
      <c r="P218" s="54">
        <v>0.0986152614279662</v>
      </c>
    </row>
    <row r="219" spans="1:16">
      <c r="A219" t="s">
        <v>731</v>
      </c>
      <c r="B219" t="s">
        <v>148</v>
      </c>
      <c r="C219" t="s">
        <v>732</v>
      </c>
      <c r="D219" t="s">
        <v>19</v>
      </c>
      <c r="E219" t="s">
        <v>129</v>
      </c>
      <c r="F219" t="s">
        <v>167</v>
      </c>
      <c r="G219">
        <v>5</v>
      </c>
      <c r="H219">
        <v>7811.95</v>
      </c>
      <c r="I219">
        <v>0.1</v>
      </c>
      <c r="J219">
        <v>35153.78</v>
      </c>
      <c r="K219">
        <v>2682.95</v>
      </c>
      <c r="L219">
        <v>1.9</v>
      </c>
      <c r="M219" s="53">
        <v>45422</v>
      </c>
      <c r="N219" t="s">
        <v>43</v>
      </c>
      <c r="O219" t="s">
        <v>23</v>
      </c>
      <c r="P219" s="54">
        <v>0.0763203843228239</v>
      </c>
    </row>
    <row r="220" spans="1:16">
      <c r="A220" t="s">
        <v>733</v>
      </c>
      <c r="B220" t="s">
        <v>734</v>
      </c>
      <c r="C220" t="s">
        <v>735</v>
      </c>
      <c r="D220" t="s">
        <v>40</v>
      </c>
      <c r="E220" t="s">
        <v>41</v>
      </c>
      <c r="F220" t="s">
        <v>42</v>
      </c>
      <c r="G220">
        <v>2</v>
      </c>
      <c r="H220">
        <v>5484.21</v>
      </c>
      <c r="I220">
        <v>0.15</v>
      </c>
      <c r="J220">
        <v>9323.16</v>
      </c>
      <c r="K220">
        <v>999.28</v>
      </c>
      <c r="L220">
        <v>2.6</v>
      </c>
      <c r="M220" s="53">
        <v>45115</v>
      </c>
      <c r="N220" t="s">
        <v>56</v>
      </c>
      <c r="O220" t="s">
        <v>44</v>
      </c>
      <c r="P220" s="54">
        <v>0.107182543257865</v>
      </c>
    </row>
    <row r="221" spans="1:16">
      <c r="A221" t="s">
        <v>736</v>
      </c>
      <c r="B221" t="s">
        <v>618</v>
      </c>
      <c r="C221" t="s">
        <v>737</v>
      </c>
      <c r="D221" t="s">
        <v>40</v>
      </c>
      <c r="E221" t="s">
        <v>41</v>
      </c>
      <c r="F221" t="s">
        <v>154</v>
      </c>
      <c r="G221">
        <v>5</v>
      </c>
      <c r="H221">
        <v>5706.17</v>
      </c>
      <c r="I221">
        <v>0.1</v>
      </c>
      <c r="J221">
        <v>25677.76</v>
      </c>
      <c r="K221">
        <v>4335.44</v>
      </c>
      <c r="L221">
        <v>2.1</v>
      </c>
      <c r="M221" s="53">
        <v>45050</v>
      </c>
      <c r="N221" t="s">
        <v>22</v>
      </c>
      <c r="O221" t="s">
        <v>44</v>
      </c>
      <c r="P221" s="54">
        <v>0.168840272671759</v>
      </c>
    </row>
    <row r="222" spans="1:16">
      <c r="A222" t="s">
        <v>738</v>
      </c>
      <c r="B222" t="s">
        <v>488</v>
      </c>
      <c r="C222" t="s">
        <v>739</v>
      </c>
      <c r="D222" t="s">
        <v>40</v>
      </c>
      <c r="E222" t="s">
        <v>174</v>
      </c>
      <c r="F222" t="s">
        <v>202</v>
      </c>
      <c r="G222">
        <v>4</v>
      </c>
      <c r="H222">
        <v>2077.13</v>
      </c>
      <c r="I222">
        <v>0</v>
      </c>
      <c r="J222">
        <v>8308.52</v>
      </c>
      <c r="K222">
        <v>1596.53</v>
      </c>
      <c r="L222">
        <v>3.1</v>
      </c>
      <c r="M222" s="53">
        <v>45563</v>
      </c>
      <c r="N222" t="s">
        <v>22</v>
      </c>
      <c r="O222" t="s">
        <v>44</v>
      </c>
      <c r="P222" s="54">
        <v>0.192155762999908</v>
      </c>
    </row>
    <row r="223" spans="1:16">
      <c r="A223" t="s">
        <v>740</v>
      </c>
      <c r="B223" t="s">
        <v>741</v>
      </c>
      <c r="C223" t="s">
        <v>742</v>
      </c>
      <c r="D223" t="s">
        <v>27</v>
      </c>
      <c r="E223" t="s">
        <v>233</v>
      </c>
      <c r="F223" t="s">
        <v>606</v>
      </c>
      <c r="G223">
        <v>1</v>
      </c>
      <c r="H223">
        <v>4206.15</v>
      </c>
      <c r="I223">
        <v>0.2</v>
      </c>
      <c r="J223">
        <v>3364.92</v>
      </c>
      <c r="K223">
        <v>182.4</v>
      </c>
      <c r="L223">
        <v>1.5</v>
      </c>
      <c r="M223" s="53">
        <v>45067</v>
      </c>
      <c r="N223" t="s">
        <v>43</v>
      </c>
      <c r="O223" t="s">
        <v>57</v>
      </c>
      <c r="P223" s="54">
        <v>0.0542063407153811</v>
      </c>
    </row>
    <row r="224" spans="1:16">
      <c r="A224" t="s">
        <v>743</v>
      </c>
      <c r="B224" t="s">
        <v>353</v>
      </c>
      <c r="C224" t="s">
        <v>744</v>
      </c>
      <c r="D224" t="s">
        <v>27</v>
      </c>
      <c r="E224" t="s">
        <v>28</v>
      </c>
      <c r="F224" t="s">
        <v>225</v>
      </c>
      <c r="G224">
        <v>2</v>
      </c>
      <c r="H224">
        <v>16033.7</v>
      </c>
      <c r="I224">
        <v>0.1</v>
      </c>
      <c r="J224">
        <v>28860.66</v>
      </c>
      <c r="K224">
        <v>2202.98</v>
      </c>
      <c r="L224">
        <v>1.6</v>
      </c>
      <c r="M224" s="53">
        <v>45188</v>
      </c>
      <c r="N224" t="s">
        <v>43</v>
      </c>
      <c r="O224" t="s">
        <v>73</v>
      </c>
      <c r="P224" s="54">
        <v>0.0763315877045085</v>
      </c>
    </row>
    <row r="225" spans="1:16">
      <c r="A225" t="s">
        <v>745</v>
      </c>
      <c r="B225" t="s">
        <v>746</v>
      </c>
      <c r="C225" t="s">
        <v>747</v>
      </c>
      <c r="D225" t="s">
        <v>19</v>
      </c>
      <c r="E225" t="s">
        <v>20</v>
      </c>
      <c r="F225" t="s">
        <v>21</v>
      </c>
      <c r="G225">
        <v>4</v>
      </c>
      <c r="H225">
        <v>9049.44</v>
      </c>
      <c r="I225">
        <v>0.15</v>
      </c>
      <c r="J225">
        <v>30768.1</v>
      </c>
      <c r="K225">
        <v>7400.76</v>
      </c>
      <c r="L225">
        <v>3.3</v>
      </c>
      <c r="M225" s="53">
        <v>45549</v>
      </c>
      <c r="N225" t="s">
        <v>30</v>
      </c>
      <c r="O225" t="s">
        <v>44</v>
      </c>
      <c r="P225" s="54">
        <v>0.240533539607581</v>
      </c>
    </row>
    <row r="226" spans="1:16">
      <c r="A226" t="s">
        <v>748</v>
      </c>
      <c r="B226" t="s">
        <v>749</v>
      </c>
      <c r="C226" t="s">
        <v>750</v>
      </c>
      <c r="D226" t="s">
        <v>27</v>
      </c>
      <c r="E226" t="s">
        <v>233</v>
      </c>
      <c r="F226" t="s">
        <v>362</v>
      </c>
      <c r="G226">
        <v>5</v>
      </c>
      <c r="H226">
        <v>18414.77</v>
      </c>
      <c r="I226">
        <v>0</v>
      </c>
      <c r="J226">
        <v>92073.85</v>
      </c>
      <c r="K226">
        <v>14232.65</v>
      </c>
      <c r="L226">
        <v>4.3</v>
      </c>
      <c r="M226" s="53">
        <v>45448</v>
      </c>
      <c r="N226" t="s">
        <v>43</v>
      </c>
      <c r="O226" t="s">
        <v>31</v>
      </c>
      <c r="P226" s="54">
        <v>0.154578634433121</v>
      </c>
    </row>
    <row r="227" spans="1:16">
      <c r="A227" t="s">
        <v>751</v>
      </c>
      <c r="B227" t="s">
        <v>724</v>
      </c>
      <c r="C227" t="s">
        <v>752</v>
      </c>
      <c r="D227" t="s">
        <v>27</v>
      </c>
      <c r="E227" t="s">
        <v>117</v>
      </c>
      <c r="F227" t="s">
        <v>505</v>
      </c>
      <c r="G227">
        <v>1</v>
      </c>
      <c r="H227">
        <v>8354.26</v>
      </c>
      <c r="I227">
        <v>0.05</v>
      </c>
      <c r="J227">
        <v>7936.55</v>
      </c>
      <c r="K227">
        <v>1795.21</v>
      </c>
      <c r="L227">
        <v>3.2</v>
      </c>
      <c r="M227" s="53">
        <v>45279</v>
      </c>
      <c r="N227" t="s">
        <v>22</v>
      </c>
      <c r="O227" t="s">
        <v>31</v>
      </c>
      <c r="P227" s="54">
        <v>0.226195261165116</v>
      </c>
    </row>
    <row r="228" spans="1:16">
      <c r="A228" t="s">
        <v>753</v>
      </c>
      <c r="B228" t="s">
        <v>519</v>
      </c>
      <c r="C228" t="s">
        <v>754</v>
      </c>
      <c r="D228" t="s">
        <v>19</v>
      </c>
      <c r="E228" t="s">
        <v>86</v>
      </c>
      <c r="F228" t="s">
        <v>320</v>
      </c>
      <c r="G228">
        <v>5</v>
      </c>
      <c r="H228">
        <v>9022.96</v>
      </c>
      <c r="I228">
        <v>0.15</v>
      </c>
      <c r="J228">
        <v>38347.58</v>
      </c>
      <c r="K228">
        <v>7467.13</v>
      </c>
      <c r="L228">
        <v>2.9</v>
      </c>
      <c r="M228" s="53">
        <v>44989</v>
      </c>
      <c r="N228" t="s">
        <v>30</v>
      </c>
      <c r="O228" t="s">
        <v>57</v>
      </c>
      <c r="P228" s="54">
        <v>0.194722326676155</v>
      </c>
    </row>
    <row r="229" spans="1:16">
      <c r="A229" t="s">
        <v>755</v>
      </c>
      <c r="B229" t="s">
        <v>756</v>
      </c>
      <c r="C229" t="s">
        <v>757</v>
      </c>
      <c r="D229" t="s">
        <v>40</v>
      </c>
      <c r="E229" t="s">
        <v>41</v>
      </c>
      <c r="F229" t="s">
        <v>125</v>
      </c>
      <c r="G229">
        <v>1</v>
      </c>
      <c r="H229">
        <v>17898.35</v>
      </c>
      <c r="I229">
        <v>0</v>
      </c>
      <c r="J229">
        <v>17898.35</v>
      </c>
      <c r="K229">
        <v>3497.76</v>
      </c>
      <c r="L229">
        <v>2.4</v>
      </c>
      <c r="M229" s="53">
        <v>45336</v>
      </c>
      <c r="N229" t="s">
        <v>22</v>
      </c>
      <c r="O229" t="s">
        <v>57</v>
      </c>
      <c r="P229" s="54">
        <v>0.195423600499487</v>
      </c>
    </row>
    <row r="230" spans="1:16">
      <c r="A230" t="s">
        <v>758</v>
      </c>
      <c r="B230" t="s">
        <v>759</v>
      </c>
      <c r="C230" t="s">
        <v>760</v>
      </c>
      <c r="D230" t="s">
        <v>40</v>
      </c>
      <c r="E230" t="s">
        <v>81</v>
      </c>
      <c r="F230" t="s">
        <v>263</v>
      </c>
      <c r="G230">
        <v>5</v>
      </c>
      <c r="H230">
        <v>1720.29</v>
      </c>
      <c r="I230">
        <v>0</v>
      </c>
      <c r="J230">
        <v>8601.45</v>
      </c>
      <c r="K230">
        <v>1965.61</v>
      </c>
      <c r="L230">
        <v>4.9</v>
      </c>
      <c r="M230" s="53">
        <v>45509</v>
      </c>
      <c r="N230" t="s">
        <v>22</v>
      </c>
      <c r="O230" t="s">
        <v>57</v>
      </c>
      <c r="P230" s="54">
        <v>0.228520772660424</v>
      </c>
    </row>
    <row r="231" spans="1:16">
      <c r="A231" t="s">
        <v>761</v>
      </c>
      <c r="B231" t="s">
        <v>762</v>
      </c>
      <c r="C231" t="s">
        <v>763</v>
      </c>
      <c r="D231" t="s">
        <v>53</v>
      </c>
      <c r="E231" t="s">
        <v>100</v>
      </c>
      <c r="F231" t="s">
        <v>229</v>
      </c>
      <c r="G231">
        <v>4</v>
      </c>
      <c r="H231">
        <v>16596.41</v>
      </c>
      <c r="I231">
        <v>0</v>
      </c>
      <c r="J231">
        <v>66385.64</v>
      </c>
      <c r="K231">
        <v>14208.37</v>
      </c>
      <c r="L231">
        <v>3.7</v>
      </c>
      <c r="M231" s="53">
        <v>45260</v>
      </c>
      <c r="N231" t="s">
        <v>56</v>
      </c>
      <c r="O231" t="s">
        <v>23</v>
      </c>
      <c r="P231" s="54">
        <v>0.214027762630593</v>
      </c>
    </row>
    <row r="232" spans="1:16">
      <c r="A232" t="s">
        <v>764</v>
      </c>
      <c r="B232" t="s">
        <v>765</v>
      </c>
      <c r="C232" t="s">
        <v>766</v>
      </c>
      <c r="D232" t="s">
        <v>53</v>
      </c>
      <c r="E232" t="s">
        <v>71</v>
      </c>
      <c r="F232" t="s">
        <v>406</v>
      </c>
      <c r="G232">
        <v>3</v>
      </c>
      <c r="H232">
        <v>1742.91</v>
      </c>
      <c r="I232">
        <v>0</v>
      </c>
      <c r="J232">
        <v>5228.73</v>
      </c>
      <c r="K232">
        <v>838.89</v>
      </c>
      <c r="L232">
        <v>2.6</v>
      </c>
      <c r="M232" s="53">
        <v>45653</v>
      </c>
      <c r="N232" t="s">
        <v>56</v>
      </c>
      <c r="O232" t="s">
        <v>31</v>
      </c>
      <c r="P232" s="54">
        <v>0.160438576862833</v>
      </c>
    </row>
    <row r="233" spans="1:16">
      <c r="A233" t="s">
        <v>767</v>
      </c>
      <c r="B233" t="s">
        <v>768</v>
      </c>
      <c r="C233" t="s">
        <v>769</v>
      </c>
      <c r="D233" t="s">
        <v>53</v>
      </c>
      <c r="E233" t="s">
        <v>100</v>
      </c>
      <c r="F233" t="s">
        <v>267</v>
      </c>
      <c r="G233">
        <v>2</v>
      </c>
      <c r="H233">
        <v>15669.03</v>
      </c>
      <c r="I233">
        <v>0</v>
      </c>
      <c r="J233">
        <v>31338.06</v>
      </c>
      <c r="K233">
        <v>2567.27</v>
      </c>
      <c r="L233">
        <v>4.9</v>
      </c>
      <c r="M233" s="53">
        <v>45536</v>
      </c>
      <c r="N233" t="s">
        <v>56</v>
      </c>
      <c r="O233" t="s">
        <v>44</v>
      </c>
      <c r="P233" s="54">
        <v>0.081921790946855</v>
      </c>
    </row>
    <row r="234" spans="1:16">
      <c r="A234" t="s">
        <v>770</v>
      </c>
      <c r="B234" t="s">
        <v>771</v>
      </c>
      <c r="C234" t="s">
        <v>772</v>
      </c>
      <c r="D234" t="s">
        <v>40</v>
      </c>
      <c r="E234" t="s">
        <v>262</v>
      </c>
      <c r="F234" t="s">
        <v>773</v>
      </c>
      <c r="G234">
        <v>1</v>
      </c>
      <c r="H234">
        <v>676.99</v>
      </c>
      <c r="I234">
        <v>0.2</v>
      </c>
      <c r="J234">
        <v>541.59</v>
      </c>
      <c r="K234">
        <v>104.07</v>
      </c>
      <c r="L234">
        <v>2.3</v>
      </c>
      <c r="M234" s="53">
        <v>45214</v>
      </c>
      <c r="N234" t="s">
        <v>43</v>
      </c>
      <c r="O234" t="s">
        <v>31</v>
      </c>
      <c r="P234" s="54">
        <v>0.192156428294466</v>
      </c>
    </row>
    <row r="235" spans="1:16">
      <c r="A235" t="s">
        <v>774</v>
      </c>
      <c r="B235" t="s">
        <v>775</v>
      </c>
      <c r="C235" t="s">
        <v>776</v>
      </c>
      <c r="D235" t="s">
        <v>40</v>
      </c>
      <c r="E235" t="s">
        <v>174</v>
      </c>
      <c r="F235" t="s">
        <v>199</v>
      </c>
      <c r="G235">
        <v>3</v>
      </c>
      <c r="H235">
        <v>10141.42</v>
      </c>
      <c r="I235">
        <v>0.15</v>
      </c>
      <c r="J235">
        <v>25860.62</v>
      </c>
      <c r="K235">
        <v>3607.59</v>
      </c>
      <c r="L235">
        <v>3.2</v>
      </c>
      <c r="M235" s="53">
        <v>45416</v>
      </c>
      <c r="N235" t="s">
        <v>43</v>
      </c>
      <c r="O235" t="s">
        <v>31</v>
      </c>
      <c r="P235" s="54">
        <v>0.139501295792599</v>
      </c>
    </row>
    <row r="236" spans="1:16">
      <c r="A236" t="s">
        <v>777</v>
      </c>
      <c r="B236" t="s">
        <v>318</v>
      </c>
      <c r="C236" t="s">
        <v>778</v>
      </c>
      <c r="D236" t="s">
        <v>53</v>
      </c>
      <c r="E236" t="s">
        <v>95</v>
      </c>
      <c r="F236" t="s">
        <v>306</v>
      </c>
      <c r="G236">
        <v>2</v>
      </c>
      <c r="H236">
        <v>3825.89</v>
      </c>
      <c r="I236">
        <v>0.1</v>
      </c>
      <c r="J236">
        <v>6886.6</v>
      </c>
      <c r="K236">
        <v>933.98</v>
      </c>
      <c r="L236">
        <v>2.4</v>
      </c>
      <c r="M236" s="53">
        <v>44950</v>
      </c>
      <c r="N236" t="s">
        <v>43</v>
      </c>
      <c r="O236" t="s">
        <v>44</v>
      </c>
      <c r="P236" s="54">
        <v>0.135622803705747</v>
      </c>
    </row>
    <row r="237" spans="1:16">
      <c r="A237" t="s">
        <v>779</v>
      </c>
      <c r="B237" t="s">
        <v>780</v>
      </c>
      <c r="C237" t="s">
        <v>781</v>
      </c>
      <c r="D237" t="s">
        <v>53</v>
      </c>
      <c r="E237" t="s">
        <v>71</v>
      </c>
      <c r="F237" t="s">
        <v>150</v>
      </c>
      <c r="G237">
        <v>3</v>
      </c>
      <c r="H237">
        <v>8129.46</v>
      </c>
      <c r="I237">
        <v>0.2</v>
      </c>
      <c r="J237">
        <v>19510.7</v>
      </c>
      <c r="K237">
        <v>3136.42</v>
      </c>
      <c r="L237">
        <v>4.1</v>
      </c>
      <c r="M237" s="53">
        <v>45275</v>
      </c>
      <c r="N237" t="s">
        <v>30</v>
      </c>
      <c r="O237" t="s">
        <v>44</v>
      </c>
      <c r="P237" s="54">
        <v>0.160753842763202</v>
      </c>
    </row>
    <row r="238" spans="1:16">
      <c r="A238" t="s">
        <v>782</v>
      </c>
      <c r="B238" t="s">
        <v>783</v>
      </c>
      <c r="C238" t="s">
        <v>784</v>
      </c>
      <c r="D238" t="s">
        <v>19</v>
      </c>
      <c r="E238" t="s">
        <v>35</v>
      </c>
      <c r="F238" t="s">
        <v>245</v>
      </c>
      <c r="G238">
        <v>2</v>
      </c>
      <c r="H238">
        <v>7416.01</v>
      </c>
      <c r="I238">
        <v>0.05</v>
      </c>
      <c r="J238">
        <v>14090.42</v>
      </c>
      <c r="K238">
        <v>853.28</v>
      </c>
      <c r="L238">
        <v>4.2</v>
      </c>
      <c r="M238" s="53">
        <v>45060</v>
      </c>
      <c r="N238" t="s">
        <v>22</v>
      </c>
      <c r="O238" t="s">
        <v>57</v>
      </c>
      <c r="P238" s="54">
        <v>0.0605574567684994</v>
      </c>
    </row>
    <row r="239" spans="1:16">
      <c r="A239" t="s">
        <v>785</v>
      </c>
      <c r="B239" t="s">
        <v>786</v>
      </c>
      <c r="C239" t="s">
        <v>787</v>
      </c>
      <c r="D239" t="s">
        <v>40</v>
      </c>
      <c r="E239" t="s">
        <v>41</v>
      </c>
      <c r="F239" t="s">
        <v>154</v>
      </c>
      <c r="G239">
        <v>4</v>
      </c>
      <c r="H239">
        <v>2201.33</v>
      </c>
      <c r="I239">
        <v>0.15</v>
      </c>
      <c r="J239">
        <v>7484.52</v>
      </c>
      <c r="K239">
        <v>1463.18</v>
      </c>
      <c r="L239">
        <v>3.7</v>
      </c>
      <c r="M239" s="53">
        <v>45035</v>
      </c>
      <c r="N239" t="s">
        <v>22</v>
      </c>
      <c r="O239" t="s">
        <v>23</v>
      </c>
      <c r="P239" s="54">
        <v>0.195494166626584</v>
      </c>
    </row>
    <row r="240" spans="1:16">
      <c r="A240" t="s">
        <v>788</v>
      </c>
      <c r="B240" t="s">
        <v>789</v>
      </c>
      <c r="C240" t="s">
        <v>790</v>
      </c>
      <c r="D240" t="s">
        <v>27</v>
      </c>
      <c r="E240" t="s">
        <v>48</v>
      </c>
      <c r="F240" t="s">
        <v>77</v>
      </c>
      <c r="G240">
        <v>5</v>
      </c>
      <c r="H240">
        <v>8617.96</v>
      </c>
      <c r="I240">
        <v>0.2</v>
      </c>
      <c r="J240">
        <v>34471.84</v>
      </c>
      <c r="K240">
        <v>7132.56</v>
      </c>
      <c r="L240">
        <v>1.3</v>
      </c>
      <c r="M240" s="53">
        <v>45584</v>
      </c>
      <c r="N240" t="s">
        <v>30</v>
      </c>
      <c r="O240" t="s">
        <v>73</v>
      </c>
      <c r="P240" s="54">
        <v>0.20690975590511</v>
      </c>
    </row>
    <row r="241" spans="1:16">
      <c r="A241" t="s">
        <v>791</v>
      </c>
      <c r="B241" t="s">
        <v>69</v>
      </c>
      <c r="C241" t="s">
        <v>792</v>
      </c>
      <c r="D241" t="s">
        <v>53</v>
      </c>
      <c r="E241" t="s">
        <v>95</v>
      </c>
      <c r="F241" t="s">
        <v>524</v>
      </c>
      <c r="G241">
        <v>1</v>
      </c>
      <c r="H241">
        <v>11212.08</v>
      </c>
      <c r="I241">
        <v>0.15</v>
      </c>
      <c r="J241">
        <v>9530.27</v>
      </c>
      <c r="K241">
        <v>1501.19</v>
      </c>
      <c r="L241">
        <v>1.7</v>
      </c>
      <c r="M241" s="53">
        <v>45019</v>
      </c>
      <c r="N241" t="s">
        <v>56</v>
      </c>
      <c r="O241" t="s">
        <v>23</v>
      </c>
      <c r="P241" s="54">
        <v>0.157518097598494</v>
      </c>
    </row>
    <row r="242" spans="1:16">
      <c r="A242" t="s">
        <v>793</v>
      </c>
      <c r="B242" t="s">
        <v>794</v>
      </c>
      <c r="C242" t="s">
        <v>232</v>
      </c>
      <c r="D242" t="s">
        <v>40</v>
      </c>
      <c r="E242" t="s">
        <v>174</v>
      </c>
      <c r="F242" t="s">
        <v>202</v>
      </c>
      <c r="G242">
        <v>4</v>
      </c>
      <c r="H242">
        <v>16501.99</v>
      </c>
      <c r="I242">
        <v>0.15</v>
      </c>
      <c r="J242">
        <v>56106.77</v>
      </c>
      <c r="K242">
        <v>8163.11</v>
      </c>
      <c r="L242">
        <v>4.3</v>
      </c>
      <c r="M242" s="53">
        <v>45318</v>
      </c>
      <c r="N242" t="s">
        <v>30</v>
      </c>
      <c r="O242" t="s">
        <v>23</v>
      </c>
      <c r="P242" s="54">
        <v>0.145492424532726</v>
      </c>
    </row>
    <row r="243" spans="1:16">
      <c r="A243" t="s">
        <v>795</v>
      </c>
      <c r="B243" t="s">
        <v>540</v>
      </c>
      <c r="C243" t="s">
        <v>796</v>
      </c>
      <c r="D243" t="s">
        <v>27</v>
      </c>
      <c r="E243" t="s">
        <v>28</v>
      </c>
      <c r="F243" t="s">
        <v>192</v>
      </c>
      <c r="G243">
        <v>5</v>
      </c>
      <c r="H243">
        <v>16193.67</v>
      </c>
      <c r="I243">
        <v>0</v>
      </c>
      <c r="J243">
        <v>80968.35</v>
      </c>
      <c r="K243">
        <v>18915.31</v>
      </c>
      <c r="L243">
        <v>4.4</v>
      </c>
      <c r="M243" s="53">
        <v>45441</v>
      </c>
      <c r="N243" t="s">
        <v>30</v>
      </c>
      <c r="O243" t="s">
        <v>73</v>
      </c>
      <c r="P243" s="54">
        <v>0.23361362804108</v>
      </c>
    </row>
    <row r="244" spans="1:16">
      <c r="A244" t="s">
        <v>797</v>
      </c>
      <c r="B244" t="s">
        <v>798</v>
      </c>
      <c r="C244" t="s">
        <v>799</v>
      </c>
      <c r="D244" t="s">
        <v>40</v>
      </c>
      <c r="E244" t="s">
        <v>41</v>
      </c>
      <c r="F244" t="s">
        <v>91</v>
      </c>
      <c r="G244">
        <v>5</v>
      </c>
      <c r="H244">
        <v>4725.97</v>
      </c>
      <c r="I244">
        <v>0.15</v>
      </c>
      <c r="J244">
        <v>20085.37</v>
      </c>
      <c r="K244">
        <v>2061.44</v>
      </c>
      <c r="L244">
        <v>2.8</v>
      </c>
      <c r="M244" s="53">
        <v>45283</v>
      </c>
      <c r="N244" t="s">
        <v>22</v>
      </c>
      <c r="O244" t="s">
        <v>44</v>
      </c>
      <c r="P244" s="54">
        <v>0.102633907167257</v>
      </c>
    </row>
    <row r="245" spans="1:16">
      <c r="A245" t="s">
        <v>800</v>
      </c>
      <c r="B245" t="s">
        <v>801</v>
      </c>
      <c r="C245" t="s">
        <v>802</v>
      </c>
      <c r="D245" t="s">
        <v>40</v>
      </c>
      <c r="E245" t="s">
        <v>262</v>
      </c>
      <c r="F245" t="s">
        <v>345</v>
      </c>
      <c r="G245">
        <v>2</v>
      </c>
      <c r="H245">
        <v>17063.6</v>
      </c>
      <c r="I245">
        <v>0.05</v>
      </c>
      <c r="J245">
        <v>32420.84</v>
      </c>
      <c r="K245">
        <v>6616.04</v>
      </c>
      <c r="L245">
        <v>3.1</v>
      </c>
      <c r="M245" s="53">
        <v>45052</v>
      </c>
      <c r="N245" t="s">
        <v>22</v>
      </c>
      <c r="O245" t="s">
        <v>31</v>
      </c>
      <c r="P245" s="54">
        <v>0.204067507195989</v>
      </c>
    </row>
    <row r="246" spans="1:16">
      <c r="A246" t="s">
        <v>803</v>
      </c>
      <c r="B246" t="s">
        <v>804</v>
      </c>
      <c r="C246" t="s">
        <v>805</v>
      </c>
      <c r="D246" t="s">
        <v>40</v>
      </c>
      <c r="E246" t="s">
        <v>174</v>
      </c>
      <c r="F246" t="s">
        <v>313</v>
      </c>
      <c r="G246">
        <v>3</v>
      </c>
      <c r="H246">
        <v>15216.54</v>
      </c>
      <c r="I246">
        <v>0.05</v>
      </c>
      <c r="J246">
        <v>43367.14</v>
      </c>
      <c r="K246">
        <v>9940.8</v>
      </c>
      <c r="L246">
        <v>3.9</v>
      </c>
      <c r="M246" s="53">
        <v>45451</v>
      </c>
      <c r="N246" t="s">
        <v>22</v>
      </c>
      <c r="O246" t="s">
        <v>23</v>
      </c>
      <c r="P246" s="54">
        <v>0.229224246745347</v>
      </c>
    </row>
    <row r="247" spans="1:16">
      <c r="A247" t="s">
        <v>806</v>
      </c>
      <c r="B247" t="s">
        <v>707</v>
      </c>
      <c r="C247" t="s">
        <v>807</v>
      </c>
      <c r="D247" t="s">
        <v>40</v>
      </c>
      <c r="E247" t="s">
        <v>81</v>
      </c>
      <c r="F247" t="s">
        <v>241</v>
      </c>
      <c r="G247">
        <v>4</v>
      </c>
      <c r="H247">
        <v>7756.16</v>
      </c>
      <c r="I247">
        <v>0.05</v>
      </c>
      <c r="J247">
        <v>29473.41</v>
      </c>
      <c r="K247">
        <v>3281.68</v>
      </c>
      <c r="L247">
        <v>3.1</v>
      </c>
      <c r="M247" s="53">
        <v>45566</v>
      </c>
      <c r="N247" t="s">
        <v>22</v>
      </c>
      <c r="O247" t="s">
        <v>23</v>
      </c>
      <c r="P247" s="54">
        <v>0.111343750180247</v>
      </c>
    </row>
    <row r="248" spans="1:16">
      <c r="A248" t="s">
        <v>808</v>
      </c>
      <c r="B248" t="s">
        <v>809</v>
      </c>
      <c r="C248" t="s">
        <v>810</v>
      </c>
      <c r="D248" t="s">
        <v>27</v>
      </c>
      <c r="E248" t="s">
        <v>28</v>
      </c>
      <c r="F248" t="s">
        <v>105</v>
      </c>
      <c r="G248">
        <v>2</v>
      </c>
      <c r="H248">
        <v>3950.72</v>
      </c>
      <c r="I248">
        <v>0.05</v>
      </c>
      <c r="J248">
        <v>7506.37</v>
      </c>
      <c r="K248">
        <v>1133.9</v>
      </c>
      <c r="L248">
        <v>4.9</v>
      </c>
      <c r="M248" s="53">
        <v>44937</v>
      </c>
      <c r="N248" t="s">
        <v>43</v>
      </c>
      <c r="O248" t="s">
        <v>57</v>
      </c>
      <c r="P248" s="54">
        <v>0.15105836775965</v>
      </c>
    </row>
    <row r="249" spans="1:16">
      <c r="A249" t="s">
        <v>811</v>
      </c>
      <c r="B249" t="s">
        <v>812</v>
      </c>
      <c r="C249" t="s">
        <v>813</v>
      </c>
      <c r="D249" t="s">
        <v>19</v>
      </c>
      <c r="E249" t="s">
        <v>86</v>
      </c>
      <c r="F249" t="s">
        <v>113</v>
      </c>
      <c r="G249">
        <v>2</v>
      </c>
      <c r="H249">
        <v>15805.72</v>
      </c>
      <c r="I249">
        <v>0.1</v>
      </c>
      <c r="J249">
        <v>28450.3</v>
      </c>
      <c r="K249">
        <v>5816.84</v>
      </c>
      <c r="L249">
        <v>3</v>
      </c>
      <c r="M249" s="53">
        <v>45031</v>
      </c>
      <c r="N249" t="s">
        <v>56</v>
      </c>
      <c r="O249" t="s">
        <v>73</v>
      </c>
      <c r="P249" s="54">
        <v>0.204456192026095</v>
      </c>
    </row>
    <row r="250" spans="1:16">
      <c r="A250" t="s">
        <v>814</v>
      </c>
      <c r="B250" t="s">
        <v>815</v>
      </c>
      <c r="C250" t="s">
        <v>816</v>
      </c>
      <c r="D250" t="s">
        <v>27</v>
      </c>
      <c r="E250" t="s">
        <v>233</v>
      </c>
      <c r="F250" t="s">
        <v>606</v>
      </c>
      <c r="G250">
        <v>1</v>
      </c>
      <c r="H250">
        <v>15695.49</v>
      </c>
      <c r="I250">
        <v>0.1</v>
      </c>
      <c r="J250">
        <v>14125.94</v>
      </c>
      <c r="K250">
        <v>2979.06</v>
      </c>
      <c r="L250">
        <v>4.6</v>
      </c>
      <c r="M250" s="53">
        <v>45241</v>
      </c>
      <c r="N250" t="s">
        <v>43</v>
      </c>
      <c r="O250" t="s">
        <v>57</v>
      </c>
      <c r="P250" s="54">
        <v>0.210892868014447</v>
      </c>
    </row>
    <row r="251" spans="1:16">
      <c r="A251" t="s">
        <v>817</v>
      </c>
      <c r="B251" t="s">
        <v>818</v>
      </c>
      <c r="C251" t="s">
        <v>792</v>
      </c>
      <c r="D251" t="s">
        <v>53</v>
      </c>
      <c r="E251" t="s">
        <v>71</v>
      </c>
      <c r="F251" t="s">
        <v>225</v>
      </c>
      <c r="G251">
        <v>4</v>
      </c>
      <c r="H251">
        <v>3592.15</v>
      </c>
      <c r="I251">
        <v>0.15</v>
      </c>
      <c r="J251">
        <v>12213.31</v>
      </c>
      <c r="K251">
        <v>2273.83</v>
      </c>
      <c r="L251">
        <v>1.2</v>
      </c>
      <c r="M251" s="53">
        <v>45611</v>
      </c>
      <c r="N251" t="s">
        <v>43</v>
      </c>
      <c r="O251" t="s">
        <v>44</v>
      </c>
      <c r="P251" s="54">
        <v>0.186176392804244</v>
      </c>
    </row>
    <row r="252" spans="1:16">
      <c r="A252" t="s">
        <v>819</v>
      </c>
      <c r="B252" t="s">
        <v>820</v>
      </c>
      <c r="C252" t="s">
        <v>821</v>
      </c>
      <c r="D252" t="s">
        <v>27</v>
      </c>
      <c r="E252" t="s">
        <v>233</v>
      </c>
      <c r="F252" t="s">
        <v>665</v>
      </c>
      <c r="G252">
        <v>2</v>
      </c>
      <c r="H252">
        <v>13207.96</v>
      </c>
      <c r="I252">
        <v>0.2</v>
      </c>
      <c r="J252">
        <v>21132.74</v>
      </c>
      <c r="K252">
        <v>5240.01</v>
      </c>
      <c r="L252">
        <v>3.7</v>
      </c>
      <c r="M252" s="53">
        <v>45495</v>
      </c>
      <c r="N252" t="s">
        <v>30</v>
      </c>
      <c r="O252" t="s">
        <v>31</v>
      </c>
      <c r="P252" s="54">
        <v>0.247956961567691</v>
      </c>
    </row>
    <row r="253" spans="1:16">
      <c r="A253" t="s">
        <v>822</v>
      </c>
      <c r="B253" t="s">
        <v>823</v>
      </c>
      <c r="C253" t="s">
        <v>824</v>
      </c>
      <c r="D253" t="s">
        <v>53</v>
      </c>
      <c r="E253" t="s">
        <v>54</v>
      </c>
      <c r="F253" t="s">
        <v>258</v>
      </c>
      <c r="G253">
        <v>4</v>
      </c>
      <c r="H253">
        <v>12808.59</v>
      </c>
      <c r="I253">
        <v>0.15</v>
      </c>
      <c r="J253">
        <v>43549.21</v>
      </c>
      <c r="K253">
        <v>4680.96</v>
      </c>
      <c r="L253">
        <v>4.1</v>
      </c>
      <c r="M253" s="53">
        <v>45377</v>
      </c>
      <c r="N253" t="s">
        <v>22</v>
      </c>
      <c r="O253" t="s">
        <v>57</v>
      </c>
      <c r="P253" s="54">
        <v>0.107486680010958</v>
      </c>
    </row>
    <row r="254" spans="1:16">
      <c r="A254" t="s">
        <v>825</v>
      </c>
      <c r="B254" t="s">
        <v>826</v>
      </c>
      <c r="C254" t="s">
        <v>827</v>
      </c>
      <c r="D254" t="s">
        <v>53</v>
      </c>
      <c r="E254" t="s">
        <v>95</v>
      </c>
      <c r="F254" t="s">
        <v>306</v>
      </c>
      <c r="G254">
        <v>3</v>
      </c>
      <c r="H254">
        <v>12499.9</v>
      </c>
      <c r="I254">
        <v>0.1</v>
      </c>
      <c r="J254">
        <v>33749.73</v>
      </c>
      <c r="K254">
        <v>7560.38</v>
      </c>
      <c r="L254">
        <v>4.8</v>
      </c>
      <c r="M254" s="53">
        <v>45242</v>
      </c>
      <c r="N254" t="s">
        <v>30</v>
      </c>
      <c r="O254" t="s">
        <v>23</v>
      </c>
      <c r="P254" s="54">
        <v>0.22401305136367</v>
      </c>
    </row>
    <row r="255" spans="1:16">
      <c r="A255" t="s">
        <v>828</v>
      </c>
      <c r="B255" t="s">
        <v>642</v>
      </c>
      <c r="C255" t="s">
        <v>829</v>
      </c>
      <c r="D255" t="s">
        <v>19</v>
      </c>
      <c r="E255" t="s">
        <v>20</v>
      </c>
      <c r="F255" t="s">
        <v>21</v>
      </c>
      <c r="G255">
        <v>5</v>
      </c>
      <c r="H255">
        <v>10223.73</v>
      </c>
      <c r="I255">
        <v>0.1</v>
      </c>
      <c r="J255">
        <v>46006.78</v>
      </c>
      <c r="K255">
        <v>2424.46</v>
      </c>
      <c r="L255">
        <v>1.2</v>
      </c>
      <c r="M255" s="53">
        <v>44967</v>
      </c>
      <c r="N255" t="s">
        <v>43</v>
      </c>
      <c r="O255" t="s">
        <v>31</v>
      </c>
      <c r="P255" s="54">
        <v>0.0526978849639118</v>
      </c>
    </row>
    <row r="256" spans="1:16">
      <c r="A256" t="s">
        <v>830</v>
      </c>
      <c r="B256" t="s">
        <v>831</v>
      </c>
      <c r="C256" t="s">
        <v>832</v>
      </c>
      <c r="D256" t="s">
        <v>19</v>
      </c>
      <c r="E256" t="s">
        <v>20</v>
      </c>
      <c r="F256" t="s">
        <v>21</v>
      </c>
      <c r="G256">
        <v>5</v>
      </c>
      <c r="H256">
        <v>14198.98</v>
      </c>
      <c r="I256">
        <v>0.1</v>
      </c>
      <c r="J256">
        <v>63895.41</v>
      </c>
      <c r="K256">
        <v>11963.35</v>
      </c>
      <c r="L256">
        <v>3.3</v>
      </c>
      <c r="M256" s="53">
        <v>45115</v>
      </c>
      <c r="N256" t="s">
        <v>43</v>
      </c>
      <c r="O256" t="s">
        <v>31</v>
      </c>
      <c r="P256" s="54">
        <v>0.187233323958638</v>
      </c>
    </row>
    <row r="257" spans="1:16">
      <c r="A257" t="s">
        <v>833</v>
      </c>
      <c r="B257" t="s">
        <v>834</v>
      </c>
      <c r="C257" t="s">
        <v>835</v>
      </c>
      <c r="D257" t="s">
        <v>27</v>
      </c>
      <c r="E257" t="s">
        <v>28</v>
      </c>
      <c r="F257" t="s">
        <v>225</v>
      </c>
      <c r="G257">
        <v>1</v>
      </c>
      <c r="H257">
        <v>3498.98</v>
      </c>
      <c r="I257">
        <v>0.1</v>
      </c>
      <c r="J257">
        <v>3149.08</v>
      </c>
      <c r="K257">
        <v>270.85</v>
      </c>
      <c r="L257">
        <v>2</v>
      </c>
      <c r="M257" s="53">
        <v>45548</v>
      </c>
      <c r="N257" t="s">
        <v>22</v>
      </c>
      <c r="O257" t="s">
        <v>31</v>
      </c>
      <c r="P257" s="54">
        <v>0.086009247145198</v>
      </c>
    </row>
    <row r="258" spans="1:16">
      <c r="A258" t="s">
        <v>836</v>
      </c>
      <c r="B258" t="s">
        <v>837</v>
      </c>
      <c r="C258" t="s">
        <v>838</v>
      </c>
      <c r="D258" t="s">
        <v>27</v>
      </c>
      <c r="E258" t="s">
        <v>117</v>
      </c>
      <c r="F258" t="s">
        <v>505</v>
      </c>
      <c r="G258">
        <v>2</v>
      </c>
      <c r="H258">
        <v>8248.68</v>
      </c>
      <c r="I258">
        <v>0.15</v>
      </c>
      <c r="J258">
        <v>14022.76</v>
      </c>
      <c r="K258">
        <v>2184.47</v>
      </c>
      <c r="L258">
        <v>5</v>
      </c>
      <c r="M258" s="53">
        <v>45332</v>
      </c>
      <c r="N258" t="s">
        <v>22</v>
      </c>
      <c r="O258" t="s">
        <v>44</v>
      </c>
      <c r="P258" s="54">
        <v>0.155780317141561</v>
      </c>
    </row>
    <row r="259" spans="1:16">
      <c r="A259" t="s">
        <v>839</v>
      </c>
      <c r="B259" t="s">
        <v>840</v>
      </c>
      <c r="C259" t="s">
        <v>841</v>
      </c>
      <c r="D259" t="s">
        <v>19</v>
      </c>
      <c r="E259" t="s">
        <v>35</v>
      </c>
      <c r="F259" t="s">
        <v>215</v>
      </c>
      <c r="G259">
        <v>5</v>
      </c>
      <c r="H259">
        <v>4485.73</v>
      </c>
      <c r="I259">
        <v>0.2</v>
      </c>
      <c r="J259">
        <v>17942.92</v>
      </c>
      <c r="K259">
        <v>2245.74</v>
      </c>
      <c r="L259">
        <v>3.1</v>
      </c>
      <c r="M259" s="53">
        <v>45301</v>
      </c>
      <c r="N259" t="s">
        <v>30</v>
      </c>
      <c r="O259" t="s">
        <v>31</v>
      </c>
      <c r="P259" s="54">
        <v>0.125160230330403</v>
      </c>
    </row>
    <row r="260" spans="1:16">
      <c r="A260" t="s">
        <v>842</v>
      </c>
      <c r="B260" t="s">
        <v>843</v>
      </c>
      <c r="C260" t="s">
        <v>844</v>
      </c>
      <c r="D260" t="s">
        <v>19</v>
      </c>
      <c r="E260" t="s">
        <v>129</v>
      </c>
      <c r="F260" t="s">
        <v>130</v>
      </c>
      <c r="G260">
        <v>1</v>
      </c>
      <c r="H260">
        <v>18703.44</v>
      </c>
      <c r="I260">
        <v>0.15</v>
      </c>
      <c r="J260">
        <v>15897.92</v>
      </c>
      <c r="K260">
        <v>3746.04</v>
      </c>
      <c r="L260">
        <v>2.7</v>
      </c>
      <c r="M260" s="53">
        <v>45322</v>
      </c>
      <c r="N260" t="s">
        <v>22</v>
      </c>
      <c r="O260" t="s">
        <v>31</v>
      </c>
      <c r="P260" s="54">
        <v>0.235630824661339</v>
      </c>
    </row>
    <row r="261" spans="1:16">
      <c r="A261" t="s">
        <v>845</v>
      </c>
      <c r="B261" t="s">
        <v>531</v>
      </c>
      <c r="C261" t="s">
        <v>846</v>
      </c>
      <c r="D261" t="s">
        <v>53</v>
      </c>
      <c r="E261" t="s">
        <v>100</v>
      </c>
      <c r="F261" t="s">
        <v>271</v>
      </c>
      <c r="G261">
        <v>3</v>
      </c>
      <c r="H261">
        <v>16150.09</v>
      </c>
      <c r="I261">
        <v>0</v>
      </c>
      <c r="J261">
        <v>48450.27</v>
      </c>
      <c r="K261">
        <v>6586.66</v>
      </c>
      <c r="L261">
        <v>3.5</v>
      </c>
      <c r="M261" s="53">
        <v>45345</v>
      </c>
      <c r="N261" t="s">
        <v>22</v>
      </c>
      <c r="O261" t="s">
        <v>73</v>
      </c>
      <c r="P261" s="54">
        <v>0.135946817221039</v>
      </c>
    </row>
    <row r="262" spans="1:16">
      <c r="A262" t="s">
        <v>847</v>
      </c>
      <c r="B262" t="s">
        <v>848</v>
      </c>
      <c r="C262" t="s">
        <v>70</v>
      </c>
      <c r="D262" t="s">
        <v>19</v>
      </c>
      <c r="E262" t="s">
        <v>129</v>
      </c>
      <c r="F262" t="s">
        <v>167</v>
      </c>
      <c r="G262">
        <v>1</v>
      </c>
      <c r="H262">
        <v>5911.08</v>
      </c>
      <c r="I262">
        <v>0</v>
      </c>
      <c r="J262">
        <v>5911.08</v>
      </c>
      <c r="K262">
        <v>1102.24</v>
      </c>
      <c r="L262">
        <v>1.9</v>
      </c>
      <c r="M262" s="53">
        <v>45142</v>
      </c>
      <c r="N262" t="s">
        <v>30</v>
      </c>
      <c r="O262" t="s">
        <v>57</v>
      </c>
      <c r="P262" s="54">
        <v>0.186470154354196</v>
      </c>
    </row>
    <row r="263" spans="1:16">
      <c r="A263" t="s">
        <v>849</v>
      </c>
      <c r="B263" t="s">
        <v>850</v>
      </c>
      <c r="C263" t="s">
        <v>851</v>
      </c>
      <c r="D263" t="s">
        <v>19</v>
      </c>
      <c r="E263" t="s">
        <v>20</v>
      </c>
      <c r="F263" t="s">
        <v>21</v>
      </c>
      <c r="G263">
        <v>2</v>
      </c>
      <c r="H263">
        <v>8908.31</v>
      </c>
      <c r="I263">
        <v>0.1</v>
      </c>
      <c r="J263">
        <v>16034.96</v>
      </c>
      <c r="K263">
        <v>3216.98</v>
      </c>
      <c r="L263">
        <v>5</v>
      </c>
      <c r="M263" s="53">
        <v>45003</v>
      </c>
      <c r="N263" t="s">
        <v>43</v>
      </c>
      <c r="O263" t="s">
        <v>44</v>
      </c>
      <c r="P263" s="54">
        <v>0.200622888987562</v>
      </c>
    </row>
    <row r="264" spans="1:16">
      <c r="A264" t="s">
        <v>852</v>
      </c>
      <c r="B264" t="s">
        <v>599</v>
      </c>
      <c r="C264" t="s">
        <v>853</v>
      </c>
      <c r="D264" t="s">
        <v>19</v>
      </c>
      <c r="E264" t="s">
        <v>35</v>
      </c>
      <c r="F264" t="s">
        <v>121</v>
      </c>
      <c r="G264">
        <v>5</v>
      </c>
      <c r="H264">
        <v>12477.17</v>
      </c>
      <c r="I264">
        <v>0.15</v>
      </c>
      <c r="J264">
        <v>53027.97</v>
      </c>
      <c r="K264">
        <v>10206.72</v>
      </c>
      <c r="L264">
        <v>1.5</v>
      </c>
      <c r="M264" s="53">
        <v>45049</v>
      </c>
      <c r="N264" t="s">
        <v>30</v>
      </c>
      <c r="O264" t="s">
        <v>73</v>
      </c>
      <c r="P264" s="54">
        <v>0.192478045076966</v>
      </c>
    </row>
    <row r="265" spans="1:16">
      <c r="A265" t="s">
        <v>854</v>
      </c>
      <c r="B265" t="s">
        <v>420</v>
      </c>
      <c r="C265" t="s">
        <v>855</v>
      </c>
      <c r="D265" t="s">
        <v>27</v>
      </c>
      <c r="E265" t="s">
        <v>28</v>
      </c>
      <c r="F265" t="s">
        <v>192</v>
      </c>
      <c r="G265">
        <v>4</v>
      </c>
      <c r="H265">
        <v>11455.61</v>
      </c>
      <c r="I265">
        <v>0</v>
      </c>
      <c r="J265">
        <v>45822.44</v>
      </c>
      <c r="K265">
        <v>7559.83</v>
      </c>
      <c r="L265">
        <v>1.9</v>
      </c>
      <c r="M265" s="53">
        <v>45581</v>
      </c>
      <c r="N265" t="s">
        <v>22</v>
      </c>
      <c r="O265" t="s">
        <v>23</v>
      </c>
      <c r="P265" s="54">
        <v>0.164980956928527</v>
      </c>
    </row>
    <row r="266" spans="1:16">
      <c r="A266" t="s">
        <v>856</v>
      </c>
      <c r="B266" t="s">
        <v>857</v>
      </c>
      <c r="C266" t="s">
        <v>858</v>
      </c>
      <c r="D266" t="s">
        <v>53</v>
      </c>
      <c r="E266" t="s">
        <v>100</v>
      </c>
      <c r="F266" t="s">
        <v>229</v>
      </c>
      <c r="G266">
        <v>1</v>
      </c>
      <c r="H266">
        <v>3112.17</v>
      </c>
      <c r="I266">
        <v>0.1</v>
      </c>
      <c r="J266">
        <v>2800.95</v>
      </c>
      <c r="K266">
        <v>208.41</v>
      </c>
      <c r="L266">
        <v>1.8</v>
      </c>
      <c r="M266" s="53">
        <v>45090</v>
      </c>
      <c r="N266" t="s">
        <v>56</v>
      </c>
      <c r="O266" t="s">
        <v>44</v>
      </c>
      <c r="P266" s="54">
        <v>0.0744068976597226</v>
      </c>
    </row>
    <row r="267" spans="1:16">
      <c r="A267" t="s">
        <v>859</v>
      </c>
      <c r="B267" t="s">
        <v>860</v>
      </c>
      <c r="C267" t="s">
        <v>861</v>
      </c>
      <c r="D267" t="s">
        <v>40</v>
      </c>
      <c r="E267" t="s">
        <v>81</v>
      </c>
      <c r="F267" t="s">
        <v>358</v>
      </c>
      <c r="G267">
        <v>5</v>
      </c>
      <c r="H267">
        <v>10132.73</v>
      </c>
      <c r="I267">
        <v>0.2</v>
      </c>
      <c r="J267">
        <v>40530.92</v>
      </c>
      <c r="K267">
        <v>8022.57</v>
      </c>
      <c r="L267">
        <v>1.6</v>
      </c>
      <c r="M267" s="53">
        <v>45574</v>
      </c>
      <c r="N267" t="s">
        <v>43</v>
      </c>
      <c r="O267" t="s">
        <v>73</v>
      </c>
      <c r="P267" s="54">
        <v>0.197937031777221</v>
      </c>
    </row>
    <row r="268" spans="1:16">
      <c r="A268" t="s">
        <v>862</v>
      </c>
      <c r="B268" t="s">
        <v>863</v>
      </c>
      <c r="C268" t="s">
        <v>864</v>
      </c>
      <c r="D268" t="s">
        <v>19</v>
      </c>
      <c r="E268" t="s">
        <v>129</v>
      </c>
      <c r="F268" t="s">
        <v>130</v>
      </c>
      <c r="G268">
        <v>1</v>
      </c>
      <c r="H268">
        <v>12546.77</v>
      </c>
      <c r="I268">
        <v>0</v>
      </c>
      <c r="J268">
        <v>12546.77</v>
      </c>
      <c r="K268">
        <v>2185.56</v>
      </c>
      <c r="L268">
        <v>3.2</v>
      </c>
      <c r="M268" s="53">
        <v>45542</v>
      </c>
      <c r="N268" t="s">
        <v>43</v>
      </c>
      <c r="O268" t="s">
        <v>57</v>
      </c>
      <c r="P268" s="54">
        <v>0.174193039324065</v>
      </c>
    </row>
    <row r="269" spans="1:16">
      <c r="A269" t="s">
        <v>865</v>
      </c>
      <c r="B269" t="s">
        <v>866</v>
      </c>
      <c r="C269" t="s">
        <v>867</v>
      </c>
      <c r="D269" t="s">
        <v>40</v>
      </c>
      <c r="E269" t="s">
        <v>174</v>
      </c>
      <c r="F269" t="s">
        <v>199</v>
      </c>
      <c r="G269">
        <v>4</v>
      </c>
      <c r="H269">
        <v>4509.75</v>
      </c>
      <c r="I269">
        <v>0.05</v>
      </c>
      <c r="J269">
        <v>17137.05</v>
      </c>
      <c r="K269">
        <v>3371.9</v>
      </c>
      <c r="L269">
        <v>3.8</v>
      </c>
      <c r="M269" s="53">
        <v>44956</v>
      </c>
      <c r="N269" t="s">
        <v>22</v>
      </c>
      <c r="O269" t="s">
        <v>57</v>
      </c>
      <c r="P269" s="54">
        <v>0.196760819394237</v>
      </c>
    </row>
    <row r="270" spans="1:16">
      <c r="A270" t="s">
        <v>868</v>
      </c>
      <c r="B270" t="s">
        <v>869</v>
      </c>
      <c r="C270" t="s">
        <v>769</v>
      </c>
      <c r="D270" t="s">
        <v>19</v>
      </c>
      <c r="E270" t="s">
        <v>20</v>
      </c>
      <c r="F270" t="s">
        <v>121</v>
      </c>
      <c r="G270">
        <v>1</v>
      </c>
      <c r="H270">
        <v>2973.66</v>
      </c>
      <c r="I270">
        <v>0.05</v>
      </c>
      <c r="J270">
        <v>2824.98</v>
      </c>
      <c r="K270">
        <v>346.64</v>
      </c>
      <c r="L270">
        <v>3.3</v>
      </c>
      <c r="M270" s="53">
        <v>45375</v>
      </c>
      <c r="N270" t="s">
        <v>22</v>
      </c>
      <c r="O270" t="s">
        <v>31</v>
      </c>
      <c r="P270" s="54">
        <v>0.122705293488803</v>
      </c>
    </row>
    <row r="271" spans="1:16">
      <c r="A271" t="s">
        <v>870</v>
      </c>
      <c r="B271" t="s">
        <v>871</v>
      </c>
      <c r="C271" t="s">
        <v>872</v>
      </c>
      <c r="D271" t="s">
        <v>40</v>
      </c>
      <c r="E271" t="s">
        <v>81</v>
      </c>
      <c r="F271" t="s">
        <v>241</v>
      </c>
      <c r="G271">
        <v>5</v>
      </c>
      <c r="H271">
        <v>14727.71</v>
      </c>
      <c r="I271">
        <v>0.1</v>
      </c>
      <c r="J271">
        <v>66274.69</v>
      </c>
      <c r="K271">
        <v>6923.09</v>
      </c>
      <c r="L271">
        <v>2.9</v>
      </c>
      <c r="M271" s="53">
        <v>45556</v>
      </c>
      <c r="N271" t="s">
        <v>22</v>
      </c>
      <c r="O271" t="s">
        <v>57</v>
      </c>
      <c r="P271" s="54">
        <v>0.104460541422374</v>
      </c>
    </row>
    <row r="272" spans="1:16">
      <c r="A272" t="s">
        <v>873</v>
      </c>
      <c r="B272" t="s">
        <v>874</v>
      </c>
      <c r="C272" t="s">
        <v>875</v>
      </c>
      <c r="D272" t="s">
        <v>19</v>
      </c>
      <c r="E272" t="s">
        <v>35</v>
      </c>
      <c r="F272" t="s">
        <v>36</v>
      </c>
      <c r="G272">
        <v>3</v>
      </c>
      <c r="H272">
        <v>13286.09</v>
      </c>
      <c r="I272">
        <v>0.15</v>
      </c>
      <c r="J272">
        <v>33879.53</v>
      </c>
      <c r="K272">
        <v>1949.02</v>
      </c>
      <c r="L272">
        <v>1.7</v>
      </c>
      <c r="M272" s="53">
        <v>45028</v>
      </c>
      <c r="N272" t="s">
        <v>30</v>
      </c>
      <c r="O272" t="s">
        <v>31</v>
      </c>
      <c r="P272" s="54">
        <v>0.057527952719533</v>
      </c>
    </row>
    <row r="273" spans="1:16">
      <c r="A273" t="s">
        <v>876</v>
      </c>
      <c r="B273" t="s">
        <v>877</v>
      </c>
      <c r="C273" t="s">
        <v>878</v>
      </c>
      <c r="D273" t="s">
        <v>19</v>
      </c>
      <c r="E273" t="s">
        <v>35</v>
      </c>
      <c r="F273" t="s">
        <v>215</v>
      </c>
      <c r="G273">
        <v>5</v>
      </c>
      <c r="H273">
        <v>10053.3</v>
      </c>
      <c r="I273">
        <v>0.2</v>
      </c>
      <c r="J273">
        <v>40213.2</v>
      </c>
      <c r="K273">
        <v>6282</v>
      </c>
      <c r="L273">
        <v>3</v>
      </c>
      <c r="M273" s="53">
        <v>45635</v>
      </c>
      <c r="N273" t="s">
        <v>30</v>
      </c>
      <c r="O273" t="s">
        <v>57</v>
      </c>
      <c r="P273" s="54">
        <v>0.1562173614634</v>
      </c>
    </row>
    <row r="274" spans="1:16">
      <c r="A274" t="s">
        <v>879</v>
      </c>
      <c r="B274" t="s">
        <v>880</v>
      </c>
      <c r="C274" t="s">
        <v>881</v>
      </c>
      <c r="D274" t="s">
        <v>53</v>
      </c>
      <c r="E274" t="s">
        <v>100</v>
      </c>
      <c r="F274" t="s">
        <v>229</v>
      </c>
      <c r="G274">
        <v>3</v>
      </c>
      <c r="H274">
        <v>14491.69</v>
      </c>
      <c r="I274">
        <v>0.15</v>
      </c>
      <c r="J274">
        <v>36953.81</v>
      </c>
      <c r="K274">
        <v>5834.75</v>
      </c>
      <c r="L274">
        <v>2.1</v>
      </c>
      <c r="M274" s="53">
        <v>45402</v>
      </c>
      <c r="N274" t="s">
        <v>22</v>
      </c>
      <c r="O274" t="s">
        <v>57</v>
      </c>
      <c r="P274" s="54">
        <v>0.157893056223431</v>
      </c>
    </row>
    <row r="275" spans="1:16">
      <c r="A275" t="s">
        <v>882</v>
      </c>
      <c r="B275" t="s">
        <v>883</v>
      </c>
      <c r="C275" t="s">
        <v>884</v>
      </c>
      <c r="D275" t="s">
        <v>27</v>
      </c>
      <c r="E275" t="s">
        <v>48</v>
      </c>
      <c r="F275" t="s">
        <v>64</v>
      </c>
      <c r="G275">
        <v>4</v>
      </c>
      <c r="H275">
        <v>8465.63</v>
      </c>
      <c r="I275">
        <v>0.15</v>
      </c>
      <c r="J275">
        <v>28783.14</v>
      </c>
      <c r="K275">
        <v>6394.78</v>
      </c>
      <c r="L275">
        <v>3</v>
      </c>
      <c r="M275" s="53">
        <v>45278</v>
      </c>
      <c r="N275" t="s">
        <v>30</v>
      </c>
      <c r="O275" t="s">
        <v>31</v>
      </c>
      <c r="P275" s="54">
        <v>0.222171034848873</v>
      </c>
    </row>
    <row r="276" spans="1:16">
      <c r="A276" t="s">
        <v>885</v>
      </c>
      <c r="B276" t="s">
        <v>886</v>
      </c>
      <c r="C276" t="s">
        <v>887</v>
      </c>
      <c r="D276" t="s">
        <v>40</v>
      </c>
      <c r="E276" t="s">
        <v>262</v>
      </c>
      <c r="F276" t="s">
        <v>345</v>
      </c>
      <c r="G276">
        <v>3</v>
      </c>
      <c r="H276">
        <v>2372.85</v>
      </c>
      <c r="I276">
        <v>0.15</v>
      </c>
      <c r="J276">
        <v>6050.77</v>
      </c>
      <c r="K276">
        <v>534.66</v>
      </c>
      <c r="L276">
        <v>4</v>
      </c>
      <c r="M276" s="53">
        <v>45227</v>
      </c>
      <c r="N276" t="s">
        <v>43</v>
      </c>
      <c r="O276" t="s">
        <v>57</v>
      </c>
      <c r="P276" s="54">
        <v>0.088362307607131</v>
      </c>
    </row>
    <row r="277" spans="1:16">
      <c r="A277" t="s">
        <v>888</v>
      </c>
      <c r="B277" t="s">
        <v>889</v>
      </c>
      <c r="C277" t="s">
        <v>890</v>
      </c>
      <c r="D277" t="s">
        <v>40</v>
      </c>
      <c r="E277" t="s">
        <v>81</v>
      </c>
      <c r="F277" t="s">
        <v>263</v>
      </c>
      <c r="G277">
        <v>4</v>
      </c>
      <c r="H277">
        <v>14169.7</v>
      </c>
      <c r="I277">
        <v>0.05</v>
      </c>
      <c r="J277">
        <v>53844.86</v>
      </c>
      <c r="K277">
        <v>10081.29</v>
      </c>
      <c r="L277">
        <v>3.1</v>
      </c>
      <c r="M277" s="53">
        <v>45357</v>
      </c>
      <c r="N277" t="s">
        <v>43</v>
      </c>
      <c r="O277" t="s">
        <v>73</v>
      </c>
      <c r="P277" s="54">
        <v>0.187228455975185</v>
      </c>
    </row>
    <row r="278" spans="1:16">
      <c r="A278" t="s">
        <v>891</v>
      </c>
      <c r="B278" t="s">
        <v>809</v>
      </c>
      <c r="C278" t="s">
        <v>892</v>
      </c>
      <c r="D278" t="s">
        <v>27</v>
      </c>
      <c r="E278" t="s">
        <v>233</v>
      </c>
      <c r="F278" t="s">
        <v>606</v>
      </c>
      <c r="G278">
        <v>3</v>
      </c>
      <c r="H278">
        <v>18450.84</v>
      </c>
      <c r="I278">
        <v>0.1</v>
      </c>
      <c r="J278">
        <v>49817.27</v>
      </c>
      <c r="K278">
        <v>2636.24</v>
      </c>
      <c r="L278">
        <v>3.4</v>
      </c>
      <c r="M278" s="53">
        <v>45021</v>
      </c>
      <c r="N278" t="s">
        <v>30</v>
      </c>
      <c r="O278" t="s">
        <v>57</v>
      </c>
      <c r="P278" s="54">
        <v>0.0529181948348434</v>
      </c>
    </row>
    <row r="279" spans="1:16">
      <c r="A279" t="s">
        <v>893</v>
      </c>
      <c r="B279" t="s">
        <v>894</v>
      </c>
      <c r="C279" t="s">
        <v>895</v>
      </c>
      <c r="D279" t="s">
        <v>27</v>
      </c>
      <c r="E279" t="s">
        <v>233</v>
      </c>
      <c r="F279" t="s">
        <v>665</v>
      </c>
      <c r="G279">
        <v>5</v>
      </c>
      <c r="H279">
        <v>17258.47</v>
      </c>
      <c r="I279">
        <v>0.1</v>
      </c>
      <c r="J279">
        <v>77663.12</v>
      </c>
      <c r="K279">
        <v>13759.62</v>
      </c>
      <c r="L279">
        <v>4.4</v>
      </c>
      <c r="M279" s="53">
        <v>45488</v>
      </c>
      <c r="N279" t="s">
        <v>56</v>
      </c>
      <c r="O279" t="s">
        <v>73</v>
      </c>
      <c r="P279" s="54">
        <v>0.177170579806735</v>
      </c>
    </row>
    <row r="280" spans="1:16">
      <c r="A280" t="s">
        <v>896</v>
      </c>
      <c r="B280" t="s">
        <v>897</v>
      </c>
      <c r="C280" t="s">
        <v>898</v>
      </c>
      <c r="D280" t="s">
        <v>19</v>
      </c>
      <c r="E280" t="s">
        <v>35</v>
      </c>
      <c r="F280" t="s">
        <v>36</v>
      </c>
      <c r="G280">
        <v>5</v>
      </c>
      <c r="H280">
        <v>6721.33</v>
      </c>
      <c r="I280">
        <v>0</v>
      </c>
      <c r="J280">
        <v>33606.65</v>
      </c>
      <c r="K280">
        <v>4511.55</v>
      </c>
      <c r="L280">
        <v>3.1</v>
      </c>
      <c r="M280" s="53">
        <v>45281</v>
      </c>
      <c r="N280" t="s">
        <v>56</v>
      </c>
      <c r="O280" t="s">
        <v>73</v>
      </c>
      <c r="P280" s="54">
        <v>0.13424575195683</v>
      </c>
    </row>
    <row r="281" spans="1:16">
      <c r="A281" t="s">
        <v>899</v>
      </c>
      <c r="B281" t="s">
        <v>265</v>
      </c>
      <c r="C281" t="s">
        <v>900</v>
      </c>
      <c r="D281" t="s">
        <v>53</v>
      </c>
      <c r="E281" t="s">
        <v>100</v>
      </c>
      <c r="F281" t="s">
        <v>267</v>
      </c>
      <c r="G281">
        <v>3</v>
      </c>
      <c r="H281">
        <v>15899.67</v>
      </c>
      <c r="I281">
        <v>0.15</v>
      </c>
      <c r="J281">
        <v>40544.16</v>
      </c>
      <c r="K281">
        <v>5715.59</v>
      </c>
      <c r="L281">
        <v>1.8</v>
      </c>
      <c r="M281" s="53">
        <v>45098</v>
      </c>
      <c r="N281" t="s">
        <v>30</v>
      </c>
      <c r="O281" t="s">
        <v>31</v>
      </c>
      <c r="P281" s="54">
        <v>0.140971967356088</v>
      </c>
    </row>
    <row r="282" spans="1:16">
      <c r="A282" t="s">
        <v>901</v>
      </c>
      <c r="B282" t="s">
        <v>734</v>
      </c>
      <c r="C282" t="s">
        <v>902</v>
      </c>
      <c r="D282" t="s">
        <v>40</v>
      </c>
      <c r="E282" t="s">
        <v>41</v>
      </c>
      <c r="F282" t="s">
        <v>91</v>
      </c>
      <c r="G282">
        <v>4</v>
      </c>
      <c r="H282">
        <v>3218.41</v>
      </c>
      <c r="I282">
        <v>0.05</v>
      </c>
      <c r="J282">
        <v>12229.96</v>
      </c>
      <c r="K282">
        <v>1233.37</v>
      </c>
      <c r="L282">
        <v>2.1</v>
      </c>
      <c r="M282" s="53">
        <v>44954</v>
      </c>
      <c r="N282" t="s">
        <v>30</v>
      </c>
      <c r="O282" t="s">
        <v>73</v>
      </c>
      <c r="P282" s="54">
        <v>0.100848244802109</v>
      </c>
    </row>
    <row r="283" spans="1:16">
      <c r="A283" t="s">
        <v>903</v>
      </c>
      <c r="B283" t="s">
        <v>25</v>
      </c>
      <c r="C283" t="s">
        <v>904</v>
      </c>
      <c r="D283" t="s">
        <v>53</v>
      </c>
      <c r="E283" t="s">
        <v>54</v>
      </c>
      <c r="F283" t="s">
        <v>258</v>
      </c>
      <c r="G283">
        <v>1</v>
      </c>
      <c r="H283">
        <v>4585.15</v>
      </c>
      <c r="I283">
        <v>0.1</v>
      </c>
      <c r="J283">
        <v>4126.64</v>
      </c>
      <c r="K283">
        <v>578.87</v>
      </c>
      <c r="L283">
        <v>4.6</v>
      </c>
      <c r="M283" s="53">
        <v>45591</v>
      </c>
      <c r="N283" t="s">
        <v>43</v>
      </c>
      <c r="O283" t="s">
        <v>31</v>
      </c>
      <c r="P283" s="54">
        <v>0.140276350735707</v>
      </c>
    </row>
    <row r="284" spans="1:16">
      <c r="A284" t="s">
        <v>905</v>
      </c>
      <c r="B284" t="s">
        <v>906</v>
      </c>
      <c r="C284" t="s">
        <v>907</v>
      </c>
      <c r="D284" t="s">
        <v>40</v>
      </c>
      <c r="E284" t="s">
        <v>262</v>
      </c>
      <c r="F284" t="s">
        <v>773</v>
      </c>
      <c r="G284">
        <v>4</v>
      </c>
      <c r="H284">
        <v>18528.6</v>
      </c>
      <c r="I284">
        <v>0</v>
      </c>
      <c r="J284">
        <v>74114.4</v>
      </c>
      <c r="K284">
        <v>17426.12</v>
      </c>
      <c r="L284">
        <v>2.1</v>
      </c>
      <c r="M284" s="53">
        <v>45373</v>
      </c>
      <c r="N284" t="s">
        <v>22</v>
      </c>
      <c r="O284" t="s">
        <v>23</v>
      </c>
      <c r="P284" s="54">
        <v>0.235124618157875</v>
      </c>
    </row>
    <row r="285" spans="1:16">
      <c r="A285" t="s">
        <v>908</v>
      </c>
      <c r="B285" t="s">
        <v>886</v>
      </c>
      <c r="C285" t="s">
        <v>211</v>
      </c>
      <c r="D285" t="s">
        <v>40</v>
      </c>
      <c r="E285" t="s">
        <v>81</v>
      </c>
      <c r="F285" t="s">
        <v>82</v>
      </c>
      <c r="G285">
        <v>3</v>
      </c>
      <c r="H285">
        <v>304.69</v>
      </c>
      <c r="I285">
        <v>0.15</v>
      </c>
      <c r="J285">
        <v>776.96</v>
      </c>
      <c r="K285">
        <v>128.51</v>
      </c>
      <c r="L285">
        <v>1.6</v>
      </c>
      <c r="M285" s="53">
        <v>45044</v>
      </c>
      <c r="N285" t="s">
        <v>22</v>
      </c>
      <c r="O285" t="s">
        <v>73</v>
      </c>
      <c r="P285" s="54">
        <v>0.165401050247117</v>
      </c>
    </row>
    <row r="286" spans="1:16">
      <c r="A286" t="s">
        <v>909</v>
      </c>
      <c r="B286" t="s">
        <v>910</v>
      </c>
      <c r="C286" t="s">
        <v>911</v>
      </c>
      <c r="D286" t="s">
        <v>27</v>
      </c>
      <c r="E286" t="s">
        <v>233</v>
      </c>
      <c r="F286" t="s">
        <v>234</v>
      </c>
      <c r="G286">
        <v>2</v>
      </c>
      <c r="H286">
        <v>7563.26</v>
      </c>
      <c r="I286">
        <v>0.2</v>
      </c>
      <c r="J286">
        <v>12101.22</v>
      </c>
      <c r="K286">
        <v>896.78</v>
      </c>
      <c r="L286">
        <v>4.5</v>
      </c>
      <c r="M286" s="53">
        <v>45170</v>
      </c>
      <c r="N286" t="s">
        <v>30</v>
      </c>
      <c r="O286" t="s">
        <v>44</v>
      </c>
      <c r="P286" s="54">
        <v>0.0741065776839029</v>
      </c>
    </row>
    <row r="287" spans="1:16">
      <c r="A287" t="s">
        <v>912</v>
      </c>
      <c r="B287" t="s">
        <v>913</v>
      </c>
      <c r="C287" t="s">
        <v>914</v>
      </c>
      <c r="D287" t="s">
        <v>27</v>
      </c>
      <c r="E287" t="s">
        <v>28</v>
      </c>
      <c r="F287" t="s">
        <v>29</v>
      </c>
      <c r="G287">
        <v>2</v>
      </c>
      <c r="H287">
        <v>2069.55</v>
      </c>
      <c r="I287">
        <v>0.05</v>
      </c>
      <c r="J287">
        <v>3932.14</v>
      </c>
      <c r="K287">
        <v>672.43</v>
      </c>
      <c r="L287">
        <v>1.1</v>
      </c>
      <c r="M287" s="53">
        <v>44998</v>
      </c>
      <c r="N287" t="s">
        <v>56</v>
      </c>
      <c r="O287" t="s">
        <v>44</v>
      </c>
      <c r="P287" s="54">
        <v>0.171008661949981</v>
      </c>
    </row>
    <row r="288" spans="1:16">
      <c r="A288" t="s">
        <v>915</v>
      </c>
      <c r="B288" t="s">
        <v>522</v>
      </c>
      <c r="C288" t="s">
        <v>916</v>
      </c>
      <c r="D288" t="s">
        <v>19</v>
      </c>
      <c r="E288" t="s">
        <v>20</v>
      </c>
      <c r="F288" t="s">
        <v>134</v>
      </c>
      <c r="G288">
        <v>5</v>
      </c>
      <c r="H288">
        <v>8480.34</v>
      </c>
      <c r="I288">
        <v>0.15</v>
      </c>
      <c r="J288">
        <v>36041.44</v>
      </c>
      <c r="K288">
        <v>8556.03</v>
      </c>
      <c r="L288">
        <v>2.8</v>
      </c>
      <c r="M288" s="53">
        <v>45156</v>
      </c>
      <c r="N288" t="s">
        <v>22</v>
      </c>
      <c r="O288" t="s">
        <v>57</v>
      </c>
      <c r="P288" s="54">
        <v>0.23739423286084</v>
      </c>
    </row>
    <row r="289" spans="1:16">
      <c r="A289" t="s">
        <v>917</v>
      </c>
      <c r="B289" t="s">
        <v>837</v>
      </c>
      <c r="C289" t="s">
        <v>918</v>
      </c>
      <c r="D289" t="s">
        <v>19</v>
      </c>
      <c r="E289" t="s">
        <v>20</v>
      </c>
      <c r="F289" t="s">
        <v>21</v>
      </c>
      <c r="G289">
        <v>3</v>
      </c>
      <c r="H289">
        <v>5890.85</v>
      </c>
      <c r="I289">
        <v>0</v>
      </c>
      <c r="J289">
        <v>17672.55</v>
      </c>
      <c r="K289">
        <v>3860.87</v>
      </c>
      <c r="L289">
        <v>4.1</v>
      </c>
      <c r="M289" s="53">
        <v>45335</v>
      </c>
      <c r="N289" t="s">
        <v>43</v>
      </c>
      <c r="O289" t="s">
        <v>44</v>
      </c>
      <c r="P289" s="54">
        <v>0.218467057668531</v>
      </c>
    </row>
    <row r="290" spans="1:16">
      <c r="A290" t="s">
        <v>919</v>
      </c>
      <c r="B290" t="s">
        <v>920</v>
      </c>
      <c r="C290" t="s">
        <v>921</v>
      </c>
      <c r="D290" t="s">
        <v>27</v>
      </c>
      <c r="E290" t="s">
        <v>117</v>
      </c>
      <c r="F290" t="s">
        <v>505</v>
      </c>
      <c r="G290">
        <v>2</v>
      </c>
      <c r="H290">
        <v>176.91</v>
      </c>
      <c r="I290">
        <v>0</v>
      </c>
      <c r="J290">
        <v>353.82</v>
      </c>
      <c r="K290">
        <v>74.82</v>
      </c>
      <c r="L290">
        <v>3</v>
      </c>
      <c r="M290" s="53">
        <v>45301</v>
      </c>
      <c r="N290" t="s">
        <v>30</v>
      </c>
      <c r="O290" t="s">
        <v>44</v>
      </c>
      <c r="P290" s="54">
        <v>0.211463455994574</v>
      </c>
    </row>
    <row r="291" spans="1:16">
      <c r="A291" t="s">
        <v>922</v>
      </c>
      <c r="B291" t="s">
        <v>624</v>
      </c>
      <c r="C291" t="s">
        <v>923</v>
      </c>
      <c r="D291" t="s">
        <v>27</v>
      </c>
      <c r="E291" t="s">
        <v>117</v>
      </c>
      <c r="F291" t="s">
        <v>192</v>
      </c>
      <c r="G291">
        <v>3</v>
      </c>
      <c r="H291">
        <v>16156.16</v>
      </c>
      <c r="I291">
        <v>0.15</v>
      </c>
      <c r="J291">
        <v>41198.21</v>
      </c>
      <c r="K291">
        <v>3150.83</v>
      </c>
      <c r="L291">
        <v>3</v>
      </c>
      <c r="M291" s="53">
        <v>45079</v>
      </c>
      <c r="N291" t="s">
        <v>22</v>
      </c>
      <c r="O291" t="s">
        <v>31</v>
      </c>
      <c r="P291" s="54">
        <v>0.0764797790971986</v>
      </c>
    </row>
    <row r="292" spans="1:16">
      <c r="A292" t="s">
        <v>924</v>
      </c>
      <c r="B292" t="s">
        <v>925</v>
      </c>
      <c r="C292" t="s">
        <v>926</v>
      </c>
      <c r="D292" t="s">
        <v>19</v>
      </c>
      <c r="E292" t="s">
        <v>35</v>
      </c>
      <c r="F292" t="s">
        <v>215</v>
      </c>
      <c r="G292">
        <v>3</v>
      </c>
      <c r="H292">
        <v>10454.01</v>
      </c>
      <c r="I292">
        <v>0.05</v>
      </c>
      <c r="J292">
        <v>29793.93</v>
      </c>
      <c r="K292">
        <v>2101.18</v>
      </c>
      <c r="L292">
        <v>4.7</v>
      </c>
      <c r="M292" s="53">
        <v>45174</v>
      </c>
      <c r="N292" t="s">
        <v>22</v>
      </c>
      <c r="O292" t="s">
        <v>73</v>
      </c>
      <c r="P292" s="54">
        <v>0.0705237610479718</v>
      </c>
    </row>
    <row r="293" spans="1:16">
      <c r="A293" t="s">
        <v>927</v>
      </c>
      <c r="B293" t="s">
        <v>928</v>
      </c>
      <c r="C293" t="s">
        <v>929</v>
      </c>
      <c r="D293" t="s">
        <v>19</v>
      </c>
      <c r="E293" t="s">
        <v>129</v>
      </c>
      <c r="F293" t="s">
        <v>302</v>
      </c>
      <c r="G293">
        <v>3</v>
      </c>
      <c r="H293">
        <v>2463.13</v>
      </c>
      <c r="I293">
        <v>0.2</v>
      </c>
      <c r="J293">
        <v>5911.51</v>
      </c>
      <c r="K293">
        <v>947.28</v>
      </c>
      <c r="L293">
        <v>5</v>
      </c>
      <c r="M293" s="53">
        <v>45045</v>
      </c>
      <c r="N293" t="s">
        <v>22</v>
      </c>
      <c r="O293" t="s">
        <v>31</v>
      </c>
      <c r="P293" s="54">
        <v>0.160243321926208</v>
      </c>
    </row>
    <row r="294" spans="1:16">
      <c r="A294" t="s">
        <v>930</v>
      </c>
      <c r="B294" t="s">
        <v>931</v>
      </c>
      <c r="C294" t="s">
        <v>932</v>
      </c>
      <c r="D294" t="s">
        <v>40</v>
      </c>
      <c r="E294" t="s">
        <v>81</v>
      </c>
      <c r="F294" t="s">
        <v>241</v>
      </c>
      <c r="G294">
        <v>1</v>
      </c>
      <c r="H294">
        <v>5281.71</v>
      </c>
      <c r="I294">
        <v>0.2</v>
      </c>
      <c r="J294">
        <v>4225.37</v>
      </c>
      <c r="K294">
        <v>304.14</v>
      </c>
      <c r="L294">
        <v>2</v>
      </c>
      <c r="M294" s="53">
        <v>44983</v>
      </c>
      <c r="N294" t="s">
        <v>22</v>
      </c>
      <c r="O294" t="s">
        <v>31</v>
      </c>
      <c r="P294" s="54">
        <v>0.0719794952868033</v>
      </c>
    </row>
    <row r="295" spans="1:16">
      <c r="A295" t="s">
        <v>933</v>
      </c>
      <c r="B295" t="s">
        <v>934</v>
      </c>
      <c r="C295" t="s">
        <v>935</v>
      </c>
      <c r="D295" t="s">
        <v>19</v>
      </c>
      <c r="E295" t="s">
        <v>20</v>
      </c>
      <c r="F295" t="s">
        <v>454</v>
      </c>
      <c r="G295">
        <v>5</v>
      </c>
      <c r="H295">
        <v>6091.93</v>
      </c>
      <c r="I295">
        <v>0.05</v>
      </c>
      <c r="J295">
        <v>28936.67</v>
      </c>
      <c r="K295">
        <v>6194.62</v>
      </c>
      <c r="L295">
        <v>4</v>
      </c>
      <c r="M295" s="53">
        <v>45108</v>
      </c>
      <c r="N295" t="s">
        <v>43</v>
      </c>
      <c r="O295" t="s">
        <v>44</v>
      </c>
      <c r="P295" s="54">
        <v>0.214075081894358</v>
      </c>
    </row>
    <row r="296" spans="1:16">
      <c r="A296" t="s">
        <v>936</v>
      </c>
      <c r="B296" t="s">
        <v>937</v>
      </c>
      <c r="C296" t="s">
        <v>938</v>
      </c>
      <c r="D296" t="s">
        <v>27</v>
      </c>
      <c r="E296" t="s">
        <v>117</v>
      </c>
      <c r="F296" t="s">
        <v>192</v>
      </c>
      <c r="G296">
        <v>3</v>
      </c>
      <c r="H296">
        <v>15982.68</v>
      </c>
      <c r="I296">
        <v>0.15</v>
      </c>
      <c r="J296">
        <v>40755.83</v>
      </c>
      <c r="K296">
        <v>10077.57</v>
      </c>
      <c r="L296">
        <v>2.4</v>
      </c>
      <c r="M296" s="53">
        <v>45497</v>
      </c>
      <c r="N296" t="s">
        <v>43</v>
      </c>
      <c r="O296" t="s">
        <v>31</v>
      </c>
      <c r="P296" s="54">
        <v>0.24726695542699</v>
      </c>
    </row>
    <row r="297" spans="1:16">
      <c r="A297" t="s">
        <v>939</v>
      </c>
      <c r="B297" t="s">
        <v>925</v>
      </c>
      <c r="C297" t="s">
        <v>940</v>
      </c>
      <c r="D297" t="s">
        <v>27</v>
      </c>
      <c r="E297" t="s">
        <v>117</v>
      </c>
      <c r="F297" t="s">
        <v>225</v>
      </c>
      <c r="G297">
        <v>4</v>
      </c>
      <c r="H297">
        <v>17742.66</v>
      </c>
      <c r="I297">
        <v>0</v>
      </c>
      <c r="J297">
        <v>70970.64</v>
      </c>
      <c r="K297">
        <v>17383.19</v>
      </c>
      <c r="L297">
        <v>4.4</v>
      </c>
      <c r="M297" s="53">
        <v>45259</v>
      </c>
      <c r="N297" t="s">
        <v>43</v>
      </c>
      <c r="O297" t="s">
        <v>31</v>
      </c>
      <c r="P297" s="54">
        <v>0.244934947747407</v>
      </c>
    </row>
    <row r="298" spans="1:16">
      <c r="A298" t="s">
        <v>941</v>
      </c>
      <c r="B298" t="s">
        <v>942</v>
      </c>
      <c r="C298" t="s">
        <v>943</v>
      </c>
      <c r="D298" t="s">
        <v>40</v>
      </c>
      <c r="E298" t="s">
        <v>81</v>
      </c>
      <c r="F298" t="s">
        <v>358</v>
      </c>
      <c r="G298">
        <v>4</v>
      </c>
      <c r="H298">
        <v>9324.69</v>
      </c>
      <c r="I298">
        <v>0.05</v>
      </c>
      <c r="J298">
        <v>35433.82</v>
      </c>
      <c r="K298">
        <v>7565.86</v>
      </c>
      <c r="L298">
        <v>3.4</v>
      </c>
      <c r="M298" s="53">
        <v>44965</v>
      </c>
      <c r="N298" t="s">
        <v>30</v>
      </c>
      <c r="O298" t="s">
        <v>23</v>
      </c>
      <c r="P298" s="54">
        <v>0.213520867916584</v>
      </c>
    </row>
    <row r="299" spans="1:16">
      <c r="A299" t="s">
        <v>944</v>
      </c>
      <c r="B299" t="s">
        <v>945</v>
      </c>
      <c r="C299" t="s">
        <v>946</v>
      </c>
      <c r="D299" t="s">
        <v>40</v>
      </c>
      <c r="E299" t="s">
        <v>81</v>
      </c>
      <c r="F299" t="s">
        <v>241</v>
      </c>
      <c r="G299">
        <v>1</v>
      </c>
      <c r="H299">
        <v>9441.77</v>
      </c>
      <c r="I299">
        <v>0</v>
      </c>
      <c r="J299">
        <v>9441.77</v>
      </c>
      <c r="K299">
        <v>1161.58</v>
      </c>
      <c r="L299">
        <v>2.9</v>
      </c>
      <c r="M299" s="53">
        <v>45452</v>
      </c>
      <c r="N299" t="s">
        <v>43</v>
      </c>
      <c r="O299" t="s">
        <v>31</v>
      </c>
      <c r="P299" s="54">
        <v>0.123025661502028</v>
      </c>
    </row>
    <row r="300" spans="1:16">
      <c r="A300" t="s">
        <v>947</v>
      </c>
      <c r="B300" t="s">
        <v>948</v>
      </c>
      <c r="C300" t="s">
        <v>949</v>
      </c>
      <c r="D300" t="s">
        <v>53</v>
      </c>
      <c r="E300" t="s">
        <v>95</v>
      </c>
      <c r="F300" t="s">
        <v>524</v>
      </c>
      <c r="G300">
        <v>4</v>
      </c>
      <c r="H300">
        <v>12329.17</v>
      </c>
      <c r="I300">
        <v>0</v>
      </c>
      <c r="J300">
        <v>49316.68</v>
      </c>
      <c r="K300">
        <v>9957.68</v>
      </c>
      <c r="L300">
        <v>4</v>
      </c>
      <c r="M300" s="53">
        <v>45365</v>
      </c>
      <c r="N300" t="s">
        <v>43</v>
      </c>
      <c r="O300" t="s">
        <v>57</v>
      </c>
      <c r="P300" s="54">
        <v>0.201913024153288</v>
      </c>
    </row>
    <row r="301" spans="1:16">
      <c r="A301" t="s">
        <v>950</v>
      </c>
      <c r="B301" t="s">
        <v>596</v>
      </c>
      <c r="C301" t="s">
        <v>951</v>
      </c>
      <c r="D301" t="s">
        <v>53</v>
      </c>
      <c r="E301" t="s">
        <v>54</v>
      </c>
      <c r="F301" t="s">
        <v>109</v>
      </c>
      <c r="G301">
        <v>4</v>
      </c>
      <c r="H301">
        <v>14018.63</v>
      </c>
      <c r="I301">
        <v>0.05</v>
      </c>
      <c r="J301">
        <v>53270.79</v>
      </c>
      <c r="K301">
        <v>9609.21</v>
      </c>
      <c r="L301">
        <v>2.2</v>
      </c>
      <c r="M301" s="53">
        <v>45353</v>
      </c>
      <c r="N301" t="s">
        <v>22</v>
      </c>
      <c r="O301" t="s">
        <v>73</v>
      </c>
      <c r="P301" s="54">
        <v>0.180384221822128</v>
      </c>
    </row>
    <row r="302" spans="1:16">
      <c r="A302" t="s">
        <v>952</v>
      </c>
      <c r="B302" t="s">
        <v>953</v>
      </c>
      <c r="C302" t="s">
        <v>954</v>
      </c>
      <c r="D302" t="s">
        <v>27</v>
      </c>
      <c r="E302" t="s">
        <v>48</v>
      </c>
      <c r="F302" t="s">
        <v>49</v>
      </c>
      <c r="G302">
        <v>2</v>
      </c>
      <c r="H302">
        <v>15738.73</v>
      </c>
      <c r="I302">
        <v>0.15</v>
      </c>
      <c r="J302">
        <v>26755.84</v>
      </c>
      <c r="K302">
        <v>3968.59</v>
      </c>
      <c r="L302">
        <v>4</v>
      </c>
      <c r="M302" s="53">
        <v>45336</v>
      </c>
      <c r="N302" t="s">
        <v>43</v>
      </c>
      <c r="O302" t="s">
        <v>31</v>
      </c>
      <c r="P302" s="54">
        <v>0.148326122446539</v>
      </c>
    </row>
    <row r="303" spans="1:16">
      <c r="A303" t="s">
        <v>955</v>
      </c>
      <c r="B303" t="s">
        <v>956</v>
      </c>
      <c r="C303" t="s">
        <v>957</v>
      </c>
      <c r="D303" t="s">
        <v>53</v>
      </c>
      <c r="E303" t="s">
        <v>95</v>
      </c>
      <c r="F303" t="s">
        <v>271</v>
      </c>
      <c r="G303">
        <v>3</v>
      </c>
      <c r="H303">
        <v>1281.18</v>
      </c>
      <c r="I303">
        <v>0.15</v>
      </c>
      <c r="J303">
        <v>3267.01</v>
      </c>
      <c r="K303">
        <v>742.59</v>
      </c>
      <c r="L303">
        <v>1.8</v>
      </c>
      <c r="M303" s="53">
        <v>45548</v>
      </c>
      <c r="N303" t="s">
        <v>30</v>
      </c>
      <c r="O303" t="s">
        <v>44</v>
      </c>
      <c r="P303" s="54">
        <v>0.227299579738048</v>
      </c>
    </row>
    <row r="304" spans="1:16">
      <c r="A304" t="s">
        <v>958</v>
      </c>
      <c r="B304" t="s">
        <v>959</v>
      </c>
      <c r="C304" t="s">
        <v>960</v>
      </c>
      <c r="D304" t="s">
        <v>53</v>
      </c>
      <c r="E304" t="s">
        <v>95</v>
      </c>
      <c r="F304" t="s">
        <v>524</v>
      </c>
      <c r="G304">
        <v>5</v>
      </c>
      <c r="H304">
        <v>13298.95</v>
      </c>
      <c r="I304">
        <v>0.15</v>
      </c>
      <c r="J304">
        <v>56520.54</v>
      </c>
      <c r="K304">
        <v>9957.81</v>
      </c>
      <c r="L304">
        <v>2.1</v>
      </c>
      <c r="M304" s="53">
        <v>44951</v>
      </c>
      <c r="N304" t="s">
        <v>22</v>
      </c>
      <c r="O304" t="s">
        <v>23</v>
      </c>
      <c r="P304" s="54">
        <v>0.176180376195981</v>
      </c>
    </row>
    <row r="305" spans="1:16">
      <c r="A305" t="s">
        <v>961</v>
      </c>
      <c r="B305" t="s">
        <v>962</v>
      </c>
      <c r="C305" t="s">
        <v>963</v>
      </c>
      <c r="D305" t="s">
        <v>19</v>
      </c>
      <c r="E305" t="s">
        <v>20</v>
      </c>
      <c r="F305" t="s">
        <v>454</v>
      </c>
      <c r="G305">
        <v>1</v>
      </c>
      <c r="H305">
        <v>7821.13</v>
      </c>
      <c r="I305">
        <v>0</v>
      </c>
      <c r="J305">
        <v>7821.13</v>
      </c>
      <c r="K305">
        <v>1635.56</v>
      </c>
      <c r="L305">
        <v>1.8</v>
      </c>
      <c r="M305" s="53">
        <v>45425</v>
      </c>
      <c r="N305" t="s">
        <v>56</v>
      </c>
      <c r="O305" t="s">
        <v>44</v>
      </c>
      <c r="P305" s="54">
        <v>0.20912067693543</v>
      </c>
    </row>
    <row r="306" spans="1:16">
      <c r="A306" t="s">
        <v>964</v>
      </c>
      <c r="B306" t="s">
        <v>965</v>
      </c>
      <c r="C306" t="s">
        <v>966</v>
      </c>
      <c r="D306" t="s">
        <v>40</v>
      </c>
      <c r="E306" t="s">
        <v>262</v>
      </c>
      <c r="F306" t="s">
        <v>773</v>
      </c>
      <c r="G306">
        <v>5</v>
      </c>
      <c r="H306">
        <v>17278.07</v>
      </c>
      <c r="I306">
        <v>0.05</v>
      </c>
      <c r="J306">
        <v>82070.83</v>
      </c>
      <c r="K306">
        <v>11068.21</v>
      </c>
      <c r="L306">
        <v>1.3</v>
      </c>
      <c r="M306" s="53">
        <v>44980</v>
      </c>
      <c r="N306" t="s">
        <v>22</v>
      </c>
      <c r="O306" t="s">
        <v>44</v>
      </c>
      <c r="P306" s="54">
        <v>0.134861679844105</v>
      </c>
    </row>
    <row r="307" spans="1:16">
      <c r="A307" t="s">
        <v>967</v>
      </c>
      <c r="B307" t="s">
        <v>968</v>
      </c>
      <c r="C307" t="s">
        <v>969</v>
      </c>
      <c r="D307" t="s">
        <v>53</v>
      </c>
      <c r="E307" t="s">
        <v>95</v>
      </c>
      <c r="F307" t="s">
        <v>271</v>
      </c>
      <c r="G307">
        <v>1</v>
      </c>
      <c r="H307">
        <v>973.42</v>
      </c>
      <c r="I307">
        <v>0.1</v>
      </c>
      <c r="J307">
        <v>876.08</v>
      </c>
      <c r="K307">
        <v>164.27</v>
      </c>
      <c r="L307">
        <v>1.4</v>
      </c>
      <c r="M307" s="53">
        <v>45609</v>
      </c>
      <c r="N307" t="s">
        <v>56</v>
      </c>
      <c r="O307" t="s">
        <v>23</v>
      </c>
      <c r="P307" s="54">
        <v>0.187505707241348</v>
      </c>
    </row>
    <row r="308" spans="1:16">
      <c r="A308" t="s">
        <v>970</v>
      </c>
      <c r="B308" t="s">
        <v>247</v>
      </c>
      <c r="C308" t="s">
        <v>971</v>
      </c>
      <c r="D308" t="s">
        <v>27</v>
      </c>
      <c r="E308" t="s">
        <v>28</v>
      </c>
      <c r="F308" t="s">
        <v>225</v>
      </c>
      <c r="G308">
        <v>5</v>
      </c>
      <c r="H308">
        <v>3754.31</v>
      </c>
      <c r="I308">
        <v>0.1</v>
      </c>
      <c r="J308">
        <v>16894.4</v>
      </c>
      <c r="K308">
        <v>2482.78</v>
      </c>
      <c r="L308">
        <v>2.7</v>
      </c>
      <c r="M308" s="53">
        <v>45048</v>
      </c>
      <c r="N308" t="s">
        <v>56</v>
      </c>
      <c r="O308" t="s">
        <v>57</v>
      </c>
      <c r="P308" s="54">
        <v>0.146958755563974</v>
      </c>
    </row>
    <row r="309" spans="1:16">
      <c r="A309" t="s">
        <v>972</v>
      </c>
      <c r="B309" t="s">
        <v>973</v>
      </c>
      <c r="C309" t="s">
        <v>974</v>
      </c>
      <c r="D309" t="s">
        <v>53</v>
      </c>
      <c r="E309" t="s">
        <v>95</v>
      </c>
      <c r="F309" t="s">
        <v>306</v>
      </c>
      <c r="G309">
        <v>4</v>
      </c>
      <c r="H309">
        <v>9657.84</v>
      </c>
      <c r="I309">
        <v>0.05</v>
      </c>
      <c r="J309">
        <v>36699.79</v>
      </c>
      <c r="K309">
        <v>8883.36</v>
      </c>
      <c r="L309">
        <v>1.6</v>
      </c>
      <c r="M309" s="53">
        <v>45022</v>
      </c>
      <c r="N309" t="s">
        <v>56</v>
      </c>
      <c r="O309" t="s">
        <v>73</v>
      </c>
      <c r="P309" s="54">
        <v>0.242054791049213</v>
      </c>
    </row>
    <row r="310" spans="1:16">
      <c r="A310" t="s">
        <v>975</v>
      </c>
      <c r="B310" t="s">
        <v>976</v>
      </c>
      <c r="C310" t="s">
        <v>977</v>
      </c>
      <c r="D310" t="s">
        <v>27</v>
      </c>
      <c r="E310" t="s">
        <v>117</v>
      </c>
      <c r="F310" t="s">
        <v>225</v>
      </c>
      <c r="G310">
        <v>5</v>
      </c>
      <c r="H310">
        <v>14737.79</v>
      </c>
      <c r="I310">
        <v>0.15</v>
      </c>
      <c r="J310">
        <v>62635.61</v>
      </c>
      <c r="K310">
        <v>6445.46</v>
      </c>
      <c r="L310">
        <v>3.3</v>
      </c>
      <c r="M310" s="53">
        <v>45033</v>
      </c>
      <c r="N310" t="s">
        <v>30</v>
      </c>
      <c r="O310" t="s">
        <v>57</v>
      </c>
      <c r="P310" s="54">
        <v>0.102904082837223</v>
      </c>
    </row>
    <row r="311" spans="1:16">
      <c r="A311" t="s">
        <v>978</v>
      </c>
      <c r="B311" t="s">
        <v>979</v>
      </c>
      <c r="C311" t="s">
        <v>980</v>
      </c>
      <c r="D311" t="s">
        <v>40</v>
      </c>
      <c r="E311" t="s">
        <v>174</v>
      </c>
      <c r="F311" t="s">
        <v>202</v>
      </c>
      <c r="G311">
        <v>2</v>
      </c>
      <c r="H311">
        <v>18562.62</v>
      </c>
      <c r="I311">
        <v>0</v>
      </c>
      <c r="J311">
        <v>37125.24</v>
      </c>
      <c r="K311">
        <v>4893.04</v>
      </c>
      <c r="L311">
        <v>3.8</v>
      </c>
      <c r="M311" s="53">
        <v>45588</v>
      </c>
      <c r="N311" t="s">
        <v>22</v>
      </c>
      <c r="O311" t="s">
        <v>44</v>
      </c>
      <c r="P311" s="54">
        <v>0.131798205210256</v>
      </c>
    </row>
    <row r="312" spans="1:16">
      <c r="A312" t="s">
        <v>981</v>
      </c>
      <c r="B312" t="s">
        <v>877</v>
      </c>
      <c r="C312" t="s">
        <v>982</v>
      </c>
      <c r="D312" t="s">
        <v>40</v>
      </c>
      <c r="E312" t="s">
        <v>81</v>
      </c>
      <c r="F312" t="s">
        <v>82</v>
      </c>
      <c r="G312">
        <v>4</v>
      </c>
      <c r="H312">
        <v>11240.97</v>
      </c>
      <c r="I312">
        <v>0.1</v>
      </c>
      <c r="J312">
        <v>40467.49</v>
      </c>
      <c r="K312">
        <v>5816.9</v>
      </c>
      <c r="L312">
        <v>1.4</v>
      </c>
      <c r="M312" s="53">
        <v>45367</v>
      </c>
      <c r="N312" t="s">
        <v>56</v>
      </c>
      <c r="O312" t="s">
        <v>31</v>
      </c>
      <c r="P312" s="54">
        <v>0.143742544941631</v>
      </c>
    </row>
    <row r="313" spans="1:16">
      <c r="A313" t="s">
        <v>983</v>
      </c>
      <c r="B313" t="s">
        <v>984</v>
      </c>
      <c r="C313" t="s">
        <v>985</v>
      </c>
      <c r="D313" t="s">
        <v>19</v>
      </c>
      <c r="E313" t="s">
        <v>129</v>
      </c>
      <c r="F313" t="s">
        <v>167</v>
      </c>
      <c r="G313">
        <v>2</v>
      </c>
      <c r="H313">
        <v>1029.75</v>
      </c>
      <c r="I313">
        <v>0</v>
      </c>
      <c r="J313">
        <v>2059.5</v>
      </c>
      <c r="K313">
        <v>445.37</v>
      </c>
      <c r="L313">
        <v>1.1</v>
      </c>
      <c r="M313" s="53">
        <v>45616</v>
      </c>
      <c r="N313" t="s">
        <v>30</v>
      </c>
      <c r="O313" t="s">
        <v>31</v>
      </c>
      <c r="P313" s="54">
        <v>0.216251517358582</v>
      </c>
    </row>
    <row r="314" spans="1:16">
      <c r="A314" t="s">
        <v>986</v>
      </c>
      <c r="B314" t="s">
        <v>987</v>
      </c>
      <c r="C314" t="s">
        <v>988</v>
      </c>
      <c r="D314" t="s">
        <v>19</v>
      </c>
      <c r="E314" t="s">
        <v>129</v>
      </c>
      <c r="F314" t="s">
        <v>302</v>
      </c>
      <c r="G314">
        <v>1</v>
      </c>
      <c r="H314">
        <v>17244.99</v>
      </c>
      <c r="I314">
        <v>0.1</v>
      </c>
      <c r="J314">
        <v>15520.49</v>
      </c>
      <c r="K314">
        <v>1083.98</v>
      </c>
      <c r="L314">
        <v>3.7</v>
      </c>
      <c r="M314" s="53">
        <v>45577</v>
      </c>
      <c r="N314" t="s">
        <v>43</v>
      </c>
      <c r="O314" t="s">
        <v>73</v>
      </c>
      <c r="P314" s="54">
        <v>0.0698418671059999</v>
      </c>
    </row>
    <row r="315" spans="1:16">
      <c r="A315" t="s">
        <v>989</v>
      </c>
      <c r="B315" t="s">
        <v>990</v>
      </c>
      <c r="C315" t="s">
        <v>991</v>
      </c>
      <c r="D315" t="s">
        <v>19</v>
      </c>
      <c r="E315" t="s">
        <v>86</v>
      </c>
      <c r="F315" t="s">
        <v>113</v>
      </c>
      <c r="G315">
        <v>5</v>
      </c>
      <c r="H315">
        <v>11595.17</v>
      </c>
      <c r="I315">
        <v>0</v>
      </c>
      <c r="J315">
        <v>57975.85</v>
      </c>
      <c r="K315">
        <v>11958.43</v>
      </c>
      <c r="L315">
        <v>3.2</v>
      </c>
      <c r="M315" s="53">
        <v>45041</v>
      </c>
      <c r="N315" t="s">
        <v>22</v>
      </c>
      <c r="O315" t="s">
        <v>23</v>
      </c>
      <c r="P315" s="54">
        <v>0.206265712361268</v>
      </c>
    </row>
    <row r="316" spans="1:16">
      <c r="A316" t="s">
        <v>992</v>
      </c>
      <c r="B316" t="s">
        <v>543</v>
      </c>
      <c r="C316" t="s">
        <v>993</v>
      </c>
      <c r="D316" t="s">
        <v>40</v>
      </c>
      <c r="E316" t="s">
        <v>262</v>
      </c>
      <c r="F316" t="s">
        <v>385</v>
      </c>
      <c r="G316">
        <v>1</v>
      </c>
      <c r="H316">
        <v>5659.39</v>
      </c>
      <c r="I316">
        <v>0</v>
      </c>
      <c r="J316">
        <v>5659.39</v>
      </c>
      <c r="K316">
        <v>450.42</v>
      </c>
      <c r="L316">
        <v>2.4</v>
      </c>
      <c r="M316" s="53">
        <v>45072</v>
      </c>
      <c r="N316" t="s">
        <v>22</v>
      </c>
      <c r="O316" t="s">
        <v>23</v>
      </c>
      <c r="P316" s="54">
        <v>0.079588082814579</v>
      </c>
    </row>
    <row r="317" spans="1:16">
      <c r="A317" t="s">
        <v>994</v>
      </c>
      <c r="B317" t="s">
        <v>995</v>
      </c>
      <c r="C317" t="s">
        <v>996</v>
      </c>
      <c r="D317" t="s">
        <v>53</v>
      </c>
      <c r="E317" t="s">
        <v>54</v>
      </c>
      <c r="F317" t="s">
        <v>109</v>
      </c>
      <c r="G317">
        <v>2</v>
      </c>
      <c r="H317">
        <v>1567.41</v>
      </c>
      <c r="I317">
        <v>0</v>
      </c>
      <c r="J317">
        <v>3134.82</v>
      </c>
      <c r="K317">
        <v>433.12</v>
      </c>
      <c r="L317">
        <v>2.5</v>
      </c>
      <c r="M317" s="53">
        <v>45453</v>
      </c>
      <c r="N317" t="s">
        <v>22</v>
      </c>
      <c r="O317" t="s">
        <v>73</v>
      </c>
      <c r="P317" s="54">
        <v>0.138164232715116</v>
      </c>
    </row>
    <row r="318" spans="1:16">
      <c r="A318" t="s">
        <v>997</v>
      </c>
      <c r="B318" t="s">
        <v>998</v>
      </c>
      <c r="C318" t="s">
        <v>999</v>
      </c>
      <c r="D318" t="s">
        <v>19</v>
      </c>
      <c r="E318" t="s">
        <v>129</v>
      </c>
      <c r="F318" t="s">
        <v>320</v>
      </c>
      <c r="G318">
        <v>5</v>
      </c>
      <c r="H318">
        <v>9648.98</v>
      </c>
      <c r="I318">
        <v>0.15</v>
      </c>
      <c r="J318">
        <v>41008.16</v>
      </c>
      <c r="K318">
        <v>3955.51</v>
      </c>
      <c r="L318">
        <v>1.8</v>
      </c>
      <c r="M318" s="53">
        <v>45619</v>
      </c>
      <c r="N318" t="s">
        <v>56</v>
      </c>
      <c r="O318" t="s">
        <v>44</v>
      </c>
      <c r="P318" s="54">
        <v>0.0964566564313054</v>
      </c>
    </row>
    <row r="319" spans="1:16">
      <c r="A319" t="s">
        <v>1000</v>
      </c>
      <c r="B319" t="s">
        <v>567</v>
      </c>
      <c r="C319" t="s">
        <v>1001</v>
      </c>
      <c r="D319" t="s">
        <v>53</v>
      </c>
      <c r="E319" t="s">
        <v>100</v>
      </c>
      <c r="F319" t="s">
        <v>229</v>
      </c>
      <c r="G319">
        <v>1</v>
      </c>
      <c r="H319">
        <v>12802.09</v>
      </c>
      <c r="I319">
        <v>0.15</v>
      </c>
      <c r="J319">
        <v>10881.78</v>
      </c>
      <c r="K319">
        <v>1940.97</v>
      </c>
      <c r="L319">
        <v>2.3</v>
      </c>
      <c r="M319" s="53">
        <v>45473</v>
      </c>
      <c r="N319" t="s">
        <v>43</v>
      </c>
      <c r="O319" t="s">
        <v>31</v>
      </c>
      <c r="P319" s="54">
        <v>0.178368796281491</v>
      </c>
    </row>
    <row r="320" spans="1:16">
      <c r="A320" t="s">
        <v>1002</v>
      </c>
      <c r="B320" t="s">
        <v>1003</v>
      </c>
      <c r="C320" t="s">
        <v>1004</v>
      </c>
      <c r="D320" t="s">
        <v>19</v>
      </c>
      <c r="E320" t="s">
        <v>86</v>
      </c>
      <c r="F320" t="s">
        <v>320</v>
      </c>
      <c r="G320">
        <v>2</v>
      </c>
      <c r="H320">
        <v>8908.02</v>
      </c>
      <c r="I320">
        <v>0.05</v>
      </c>
      <c r="J320">
        <v>16925.24</v>
      </c>
      <c r="K320">
        <v>2471.74</v>
      </c>
      <c r="L320">
        <v>3.8</v>
      </c>
      <c r="M320" s="53">
        <v>45556</v>
      </c>
      <c r="N320" t="s">
        <v>43</v>
      </c>
      <c r="O320" t="s">
        <v>73</v>
      </c>
      <c r="P320" s="54">
        <v>0.146038697235608</v>
      </c>
    </row>
    <row r="321" spans="1:16">
      <c r="A321" t="s">
        <v>1005</v>
      </c>
      <c r="B321" t="s">
        <v>1006</v>
      </c>
      <c r="C321" t="s">
        <v>1007</v>
      </c>
      <c r="D321" t="s">
        <v>27</v>
      </c>
      <c r="E321" t="s">
        <v>117</v>
      </c>
      <c r="F321" t="s">
        <v>225</v>
      </c>
      <c r="G321">
        <v>3</v>
      </c>
      <c r="H321">
        <v>12316.76</v>
      </c>
      <c r="I321">
        <v>0</v>
      </c>
      <c r="J321">
        <v>36950.28</v>
      </c>
      <c r="K321">
        <v>7033.28</v>
      </c>
      <c r="L321">
        <v>4.7</v>
      </c>
      <c r="M321" s="53">
        <v>45337</v>
      </c>
      <c r="N321" t="s">
        <v>30</v>
      </c>
      <c r="O321" t="s">
        <v>23</v>
      </c>
      <c r="P321" s="54">
        <v>0.190344430407564</v>
      </c>
    </row>
    <row r="322" spans="1:16">
      <c r="A322" t="s">
        <v>1008</v>
      </c>
      <c r="B322" t="s">
        <v>1009</v>
      </c>
      <c r="C322" t="s">
        <v>1010</v>
      </c>
      <c r="D322" t="s">
        <v>40</v>
      </c>
      <c r="E322" t="s">
        <v>174</v>
      </c>
      <c r="F322" t="s">
        <v>202</v>
      </c>
      <c r="G322">
        <v>1</v>
      </c>
      <c r="H322">
        <v>5852.11</v>
      </c>
      <c r="I322">
        <v>0.15</v>
      </c>
      <c r="J322">
        <v>4974.29</v>
      </c>
      <c r="K322">
        <v>354.33</v>
      </c>
      <c r="L322">
        <v>4.1</v>
      </c>
      <c r="M322" s="53">
        <v>45000</v>
      </c>
      <c r="N322" t="s">
        <v>30</v>
      </c>
      <c r="O322" t="s">
        <v>23</v>
      </c>
      <c r="P322" s="54">
        <v>0.0712322763650692</v>
      </c>
    </row>
    <row r="323" spans="1:16">
      <c r="A323" t="s">
        <v>1011</v>
      </c>
      <c r="B323" t="s">
        <v>1012</v>
      </c>
      <c r="C323" t="s">
        <v>1013</v>
      </c>
      <c r="D323" t="s">
        <v>53</v>
      </c>
      <c r="E323" t="s">
        <v>95</v>
      </c>
      <c r="F323" t="s">
        <v>271</v>
      </c>
      <c r="G323">
        <v>2</v>
      </c>
      <c r="H323">
        <v>9845.04</v>
      </c>
      <c r="I323">
        <v>0.15</v>
      </c>
      <c r="J323">
        <v>16736.57</v>
      </c>
      <c r="K323">
        <v>2397.63</v>
      </c>
      <c r="L323">
        <v>2</v>
      </c>
      <c r="M323" s="53">
        <v>45154</v>
      </c>
      <c r="N323" t="s">
        <v>22</v>
      </c>
      <c r="O323" t="s">
        <v>31</v>
      </c>
      <c r="P323" s="54">
        <v>0.143256951693208</v>
      </c>
    </row>
    <row r="324" spans="1:16">
      <c r="A324" t="s">
        <v>1014</v>
      </c>
      <c r="B324" t="s">
        <v>51</v>
      </c>
      <c r="C324" t="s">
        <v>1015</v>
      </c>
      <c r="D324" t="s">
        <v>19</v>
      </c>
      <c r="E324" t="s">
        <v>86</v>
      </c>
      <c r="F324" t="s">
        <v>113</v>
      </c>
      <c r="G324">
        <v>3</v>
      </c>
      <c r="H324">
        <v>6636.95</v>
      </c>
      <c r="I324">
        <v>0.05</v>
      </c>
      <c r="J324">
        <v>18915.31</v>
      </c>
      <c r="K324">
        <v>3215.9</v>
      </c>
      <c r="L324">
        <v>3.5</v>
      </c>
      <c r="M324" s="53">
        <v>45100</v>
      </c>
      <c r="N324" t="s">
        <v>30</v>
      </c>
      <c r="O324" t="s">
        <v>44</v>
      </c>
      <c r="P324" s="54">
        <v>0.170015717426783</v>
      </c>
    </row>
    <row r="325" spans="1:16">
      <c r="A325" t="s">
        <v>1016</v>
      </c>
      <c r="B325" t="s">
        <v>204</v>
      </c>
      <c r="C325" t="s">
        <v>1017</v>
      </c>
      <c r="D325" t="s">
        <v>53</v>
      </c>
      <c r="E325" t="s">
        <v>71</v>
      </c>
      <c r="F325" t="s">
        <v>225</v>
      </c>
      <c r="G325">
        <v>3</v>
      </c>
      <c r="H325">
        <v>1347.06</v>
      </c>
      <c r="I325">
        <v>0.1</v>
      </c>
      <c r="J325">
        <v>3637.06</v>
      </c>
      <c r="K325">
        <v>341.89</v>
      </c>
      <c r="L325">
        <v>2.3</v>
      </c>
      <c r="M325" s="53">
        <v>45408</v>
      </c>
      <c r="N325" t="s">
        <v>56</v>
      </c>
      <c r="O325" t="s">
        <v>57</v>
      </c>
      <c r="P325" s="54">
        <v>0.0940017486651306</v>
      </c>
    </row>
    <row r="326" spans="1:16">
      <c r="A326" t="s">
        <v>1018</v>
      </c>
      <c r="B326" t="s">
        <v>801</v>
      </c>
      <c r="C326" t="s">
        <v>1019</v>
      </c>
      <c r="D326" t="s">
        <v>53</v>
      </c>
      <c r="E326" t="s">
        <v>54</v>
      </c>
      <c r="F326" t="s">
        <v>249</v>
      </c>
      <c r="G326">
        <v>4</v>
      </c>
      <c r="H326">
        <v>15102.05</v>
      </c>
      <c r="I326">
        <v>0.1</v>
      </c>
      <c r="J326">
        <v>54367.38</v>
      </c>
      <c r="K326">
        <v>13019.74</v>
      </c>
      <c r="L326">
        <v>1.8</v>
      </c>
      <c r="M326" s="53">
        <v>45092</v>
      </c>
      <c r="N326" t="s">
        <v>43</v>
      </c>
      <c r="O326" t="s">
        <v>44</v>
      </c>
      <c r="P326" s="54">
        <v>0.239477054071761</v>
      </c>
    </row>
    <row r="327" spans="1:16">
      <c r="A327" t="s">
        <v>1020</v>
      </c>
      <c r="B327" t="s">
        <v>1021</v>
      </c>
      <c r="C327" t="s">
        <v>1022</v>
      </c>
      <c r="D327" t="s">
        <v>27</v>
      </c>
      <c r="E327" t="s">
        <v>48</v>
      </c>
      <c r="F327" t="s">
        <v>583</v>
      </c>
      <c r="G327">
        <v>1</v>
      </c>
      <c r="H327">
        <v>2953.16</v>
      </c>
      <c r="I327">
        <v>0.1</v>
      </c>
      <c r="J327">
        <v>2657.84</v>
      </c>
      <c r="K327">
        <v>293.8</v>
      </c>
      <c r="L327">
        <v>4</v>
      </c>
      <c r="M327" s="53">
        <v>45608</v>
      </c>
      <c r="N327" t="s">
        <v>22</v>
      </c>
      <c r="O327" t="s">
        <v>57</v>
      </c>
      <c r="P327" s="54">
        <v>0.110540890347049</v>
      </c>
    </row>
    <row r="328" spans="1:16">
      <c r="A328" t="s">
        <v>1023</v>
      </c>
      <c r="B328" t="s">
        <v>1024</v>
      </c>
      <c r="C328" t="s">
        <v>1025</v>
      </c>
      <c r="D328" t="s">
        <v>53</v>
      </c>
      <c r="E328" t="s">
        <v>71</v>
      </c>
      <c r="F328" t="s">
        <v>225</v>
      </c>
      <c r="G328">
        <v>2</v>
      </c>
      <c r="H328">
        <v>4660.54</v>
      </c>
      <c r="I328">
        <v>0.1</v>
      </c>
      <c r="J328">
        <v>8388.97</v>
      </c>
      <c r="K328">
        <v>1702.08</v>
      </c>
      <c r="L328">
        <v>1.4</v>
      </c>
      <c r="M328" s="53">
        <v>45368</v>
      </c>
      <c r="N328" t="s">
        <v>43</v>
      </c>
      <c r="O328" t="s">
        <v>23</v>
      </c>
      <c r="P328" s="54">
        <v>0.202894991876237</v>
      </c>
    </row>
    <row r="329" spans="1:16">
      <c r="A329" t="s">
        <v>1026</v>
      </c>
      <c r="B329" t="s">
        <v>663</v>
      </c>
      <c r="C329" t="s">
        <v>1027</v>
      </c>
      <c r="D329" t="s">
        <v>27</v>
      </c>
      <c r="E329" t="s">
        <v>48</v>
      </c>
      <c r="F329" t="s">
        <v>49</v>
      </c>
      <c r="G329">
        <v>2</v>
      </c>
      <c r="H329">
        <v>19944.67</v>
      </c>
      <c r="I329">
        <v>0.1</v>
      </c>
      <c r="J329">
        <v>35900.41</v>
      </c>
      <c r="K329">
        <v>5691.88</v>
      </c>
      <c r="L329">
        <v>2.8</v>
      </c>
      <c r="M329" s="53">
        <v>45165</v>
      </c>
      <c r="N329" t="s">
        <v>43</v>
      </c>
      <c r="O329" t="s">
        <v>44</v>
      </c>
      <c r="P329" s="54">
        <v>0.158546378718238</v>
      </c>
    </row>
    <row r="330" spans="1:16">
      <c r="A330" t="s">
        <v>1028</v>
      </c>
      <c r="B330" t="s">
        <v>1029</v>
      </c>
      <c r="C330" t="s">
        <v>1030</v>
      </c>
      <c r="D330" t="s">
        <v>27</v>
      </c>
      <c r="E330" t="s">
        <v>28</v>
      </c>
      <c r="F330" t="s">
        <v>105</v>
      </c>
      <c r="G330">
        <v>5</v>
      </c>
      <c r="H330">
        <v>4551.24</v>
      </c>
      <c r="I330">
        <v>0.15</v>
      </c>
      <c r="J330">
        <v>19342.77</v>
      </c>
      <c r="K330">
        <v>4534.26</v>
      </c>
      <c r="L330">
        <v>3.7</v>
      </c>
      <c r="M330" s="53">
        <v>45345</v>
      </c>
      <c r="N330" t="s">
        <v>22</v>
      </c>
      <c r="O330" t="s">
        <v>57</v>
      </c>
      <c r="P330" s="54">
        <v>0.234416270265324</v>
      </c>
    </row>
    <row r="331" spans="1:16">
      <c r="A331" t="s">
        <v>1031</v>
      </c>
      <c r="B331" t="s">
        <v>1032</v>
      </c>
      <c r="C331" t="s">
        <v>1033</v>
      </c>
      <c r="D331" t="s">
        <v>53</v>
      </c>
      <c r="E331" t="s">
        <v>95</v>
      </c>
      <c r="F331" t="s">
        <v>524</v>
      </c>
      <c r="G331">
        <v>4</v>
      </c>
      <c r="H331">
        <v>7017.84</v>
      </c>
      <c r="I331">
        <v>0.1</v>
      </c>
      <c r="J331">
        <v>25264.22</v>
      </c>
      <c r="K331">
        <v>2524.51</v>
      </c>
      <c r="L331">
        <v>1.7</v>
      </c>
      <c r="M331" s="53">
        <v>45585</v>
      </c>
      <c r="N331" t="s">
        <v>56</v>
      </c>
      <c r="O331" t="s">
        <v>23</v>
      </c>
      <c r="P331" s="54">
        <v>0.0999243198483864</v>
      </c>
    </row>
    <row r="332" spans="1:16">
      <c r="A332" t="s">
        <v>1034</v>
      </c>
      <c r="B332" t="s">
        <v>1035</v>
      </c>
      <c r="C332" t="s">
        <v>1036</v>
      </c>
      <c r="D332" t="s">
        <v>40</v>
      </c>
      <c r="E332" t="s">
        <v>41</v>
      </c>
      <c r="F332" t="s">
        <v>42</v>
      </c>
      <c r="G332">
        <v>4</v>
      </c>
      <c r="H332">
        <v>13231.86</v>
      </c>
      <c r="I332">
        <v>0.1</v>
      </c>
      <c r="J332">
        <v>47634.7</v>
      </c>
      <c r="K332">
        <v>4271.95</v>
      </c>
      <c r="L332">
        <v>2.3</v>
      </c>
      <c r="M332" s="53">
        <v>45102</v>
      </c>
      <c r="N332" t="s">
        <v>56</v>
      </c>
      <c r="O332" t="s">
        <v>57</v>
      </c>
      <c r="P332" s="54">
        <v>0.0896814717002521</v>
      </c>
    </row>
    <row r="333" spans="1:16">
      <c r="A333" t="s">
        <v>1037</v>
      </c>
      <c r="B333" t="s">
        <v>1038</v>
      </c>
      <c r="C333" t="s">
        <v>1039</v>
      </c>
      <c r="D333" t="s">
        <v>19</v>
      </c>
      <c r="E333" t="s">
        <v>20</v>
      </c>
      <c r="F333" t="s">
        <v>134</v>
      </c>
      <c r="G333">
        <v>5</v>
      </c>
      <c r="H333">
        <v>14530.93</v>
      </c>
      <c r="I333">
        <v>0.2</v>
      </c>
      <c r="J333">
        <v>58123.72</v>
      </c>
      <c r="K333">
        <v>12193.64</v>
      </c>
      <c r="L333">
        <v>4.3</v>
      </c>
      <c r="M333" s="53">
        <v>45474</v>
      </c>
      <c r="N333" t="s">
        <v>56</v>
      </c>
      <c r="O333" t="s">
        <v>31</v>
      </c>
      <c r="P333" s="54">
        <v>0.209787673603823</v>
      </c>
    </row>
    <row r="334" spans="1:16">
      <c r="A334" t="s">
        <v>1040</v>
      </c>
      <c r="B334" t="s">
        <v>1041</v>
      </c>
      <c r="C334" t="s">
        <v>1042</v>
      </c>
      <c r="D334" t="s">
        <v>27</v>
      </c>
      <c r="E334" t="s">
        <v>117</v>
      </c>
      <c r="F334" t="s">
        <v>192</v>
      </c>
      <c r="G334">
        <v>1</v>
      </c>
      <c r="H334">
        <v>5033.85</v>
      </c>
      <c r="I334">
        <v>0</v>
      </c>
      <c r="J334">
        <v>5033.85</v>
      </c>
      <c r="K334">
        <v>361.35</v>
      </c>
      <c r="L334">
        <v>3.8</v>
      </c>
      <c r="M334" s="53">
        <v>45048</v>
      </c>
      <c r="N334" t="s">
        <v>22</v>
      </c>
      <c r="O334" t="s">
        <v>73</v>
      </c>
      <c r="P334" s="54">
        <v>0.0717840221699097</v>
      </c>
    </row>
    <row r="335" spans="1:16">
      <c r="A335" t="s">
        <v>1043</v>
      </c>
      <c r="B335" t="s">
        <v>1044</v>
      </c>
      <c r="C335" t="s">
        <v>1045</v>
      </c>
      <c r="D335" t="s">
        <v>53</v>
      </c>
      <c r="E335" t="s">
        <v>100</v>
      </c>
      <c r="F335" t="s">
        <v>267</v>
      </c>
      <c r="G335">
        <v>2</v>
      </c>
      <c r="H335">
        <v>17241.81</v>
      </c>
      <c r="I335">
        <v>0.05</v>
      </c>
      <c r="J335">
        <v>32759.44</v>
      </c>
      <c r="K335">
        <v>2162.02</v>
      </c>
      <c r="L335">
        <v>3.7</v>
      </c>
      <c r="M335" s="53">
        <v>45509</v>
      </c>
      <c r="N335" t="s">
        <v>30</v>
      </c>
      <c r="O335" t="s">
        <v>57</v>
      </c>
      <c r="P335" s="54">
        <v>0.065996854647088</v>
      </c>
    </row>
    <row r="336" spans="1:16">
      <c r="A336" t="s">
        <v>1046</v>
      </c>
      <c r="B336" t="s">
        <v>746</v>
      </c>
      <c r="C336" t="s">
        <v>1047</v>
      </c>
      <c r="D336" t="s">
        <v>27</v>
      </c>
      <c r="E336" t="s">
        <v>233</v>
      </c>
      <c r="F336" t="s">
        <v>234</v>
      </c>
      <c r="G336">
        <v>1</v>
      </c>
      <c r="H336">
        <v>19762.03</v>
      </c>
      <c r="I336">
        <v>0</v>
      </c>
      <c r="J336">
        <v>19762.03</v>
      </c>
      <c r="K336">
        <v>2518.63</v>
      </c>
      <c r="L336">
        <v>4</v>
      </c>
      <c r="M336" s="53">
        <v>45133</v>
      </c>
      <c r="N336" t="s">
        <v>43</v>
      </c>
      <c r="O336" t="s">
        <v>44</v>
      </c>
      <c r="P336" s="54">
        <v>0.12744793930583</v>
      </c>
    </row>
    <row r="337" spans="1:16">
      <c r="A337" t="s">
        <v>1048</v>
      </c>
      <c r="B337" t="s">
        <v>1049</v>
      </c>
      <c r="C337" t="s">
        <v>1050</v>
      </c>
      <c r="D337" t="s">
        <v>27</v>
      </c>
      <c r="E337" t="s">
        <v>117</v>
      </c>
      <c r="F337" t="s">
        <v>118</v>
      </c>
      <c r="G337">
        <v>4</v>
      </c>
      <c r="H337">
        <v>15850.92</v>
      </c>
      <c r="I337">
        <v>0.15</v>
      </c>
      <c r="J337">
        <v>53893.13</v>
      </c>
      <c r="K337">
        <v>13259.93</v>
      </c>
      <c r="L337">
        <v>3.1</v>
      </c>
      <c r="M337" s="53">
        <v>45419</v>
      </c>
      <c r="N337" t="s">
        <v>22</v>
      </c>
      <c r="O337" t="s">
        <v>44</v>
      </c>
      <c r="P337" s="54">
        <v>0.246041193005491</v>
      </c>
    </row>
    <row r="338" spans="1:16">
      <c r="A338" t="s">
        <v>1051</v>
      </c>
      <c r="B338" t="s">
        <v>488</v>
      </c>
      <c r="C338" t="s">
        <v>1052</v>
      </c>
      <c r="D338" t="s">
        <v>53</v>
      </c>
      <c r="E338" t="s">
        <v>95</v>
      </c>
      <c r="F338" t="s">
        <v>524</v>
      </c>
      <c r="G338">
        <v>2</v>
      </c>
      <c r="H338">
        <v>14231.1</v>
      </c>
      <c r="I338">
        <v>0.2</v>
      </c>
      <c r="J338">
        <v>22769.76</v>
      </c>
      <c r="K338">
        <v>5422.95</v>
      </c>
      <c r="L338">
        <v>4.9</v>
      </c>
      <c r="M338" s="53">
        <v>45029</v>
      </c>
      <c r="N338" t="s">
        <v>30</v>
      </c>
      <c r="O338" t="s">
        <v>23</v>
      </c>
      <c r="P338" s="54">
        <v>0.23816456563442</v>
      </c>
    </row>
    <row r="339" spans="1:16">
      <c r="A339" t="s">
        <v>1053</v>
      </c>
      <c r="B339" t="s">
        <v>1054</v>
      </c>
      <c r="C339" t="s">
        <v>1055</v>
      </c>
      <c r="D339" t="s">
        <v>19</v>
      </c>
      <c r="E339" t="s">
        <v>86</v>
      </c>
      <c r="F339" t="s">
        <v>182</v>
      </c>
      <c r="G339">
        <v>5</v>
      </c>
      <c r="H339">
        <v>3814.31</v>
      </c>
      <c r="I339">
        <v>0.1</v>
      </c>
      <c r="J339">
        <v>17164.4</v>
      </c>
      <c r="K339">
        <v>1165.88</v>
      </c>
      <c r="L339">
        <v>3.6</v>
      </c>
      <c r="M339" s="53">
        <v>44942</v>
      </c>
      <c r="N339" t="s">
        <v>22</v>
      </c>
      <c r="O339" t="s">
        <v>44</v>
      </c>
      <c r="P339" s="54">
        <v>0.0679243084523782</v>
      </c>
    </row>
    <row r="340" spans="1:16">
      <c r="A340" t="s">
        <v>1056</v>
      </c>
      <c r="B340" t="s">
        <v>1057</v>
      </c>
      <c r="C340" t="s">
        <v>1058</v>
      </c>
      <c r="D340" t="s">
        <v>27</v>
      </c>
      <c r="E340" t="s">
        <v>28</v>
      </c>
      <c r="F340" t="s">
        <v>105</v>
      </c>
      <c r="G340">
        <v>3</v>
      </c>
      <c r="H340">
        <v>4635.11</v>
      </c>
      <c r="I340">
        <v>0</v>
      </c>
      <c r="J340">
        <v>13905.33</v>
      </c>
      <c r="K340">
        <v>1159.82</v>
      </c>
      <c r="L340">
        <v>1.2</v>
      </c>
      <c r="M340" s="53">
        <v>45459</v>
      </c>
      <c r="N340" t="s">
        <v>22</v>
      </c>
      <c r="O340" t="s">
        <v>31</v>
      </c>
      <c r="P340" s="54">
        <v>0.083408304585364</v>
      </c>
    </row>
    <row r="341" spans="1:16">
      <c r="A341" t="s">
        <v>1059</v>
      </c>
      <c r="B341" t="s">
        <v>500</v>
      </c>
      <c r="C341" t="s">
        <v>1060</v>
      </c>
      <c r="D341" t="s">
        <v>40</v>
      </c>
      <c r="E341" t="s">
        <v>174</v>
      </c>
      <c r="F341" t="s">
        <v>202</v>
      </c>
      <c r="G341">
        <v>4</v>
      </c>
      <c r="H341">
        <v>19600.56</v>
      </c>
      <c r="I341">
        <v>0.2</v>
      </c>
      <c r="J341">
        <v>62721.79</v>
      </c>
      <c r="K341">
        <v>13030.36</v>
      </c>
      <c r="L341">
        <v>3.6</v>
      </c>
      <c r="M341" s="53">
        <v>45629</v>
      </c>
      <c r="N341" t="s">
        <v>56</v>
      </c>
      <c r="O341" t="s">
        <v>23</v>
      </c>
      <c r="P341" s="54">
        <v>0.207748535237913</v>
      </c>
    </row>
    <row r="342" spans="1:16">
      <c r="A342" t="s">
        <v>1061</v>
      </c>
      <c r="B342" t="s">
        <v>746</v>
      </c>
      <c r="C342" t="s">
        <v>1062</v>
      </c>
      <c r="D342" t="s">
        <v>27</v>
      </c>
      <c r="E342" t="s">
        <v>48</v>
      </c>
      <c r="F342" t="s">
        <v>583</v>
      </c>
      <c r="G342">
        <v>3</v>
      </c>
      <c r="H342">
        <v>13034.99</v>
      </c>
      <c r="I342">
        <v>0</v>
      </c>
      <c r="J342">
        <v>39104.97</v>
      </c>
      <c r="K342">
        <v>3309.75</v>
      </c>
      <c r="L342">
        <v>2.7</v>
      </c>
      <c r="M342" s="53">
        <v>45189</v>
      </c>
      <c r="N342" t="s">
        <v>22</v>
      </c>
      <c r="O342" t="s">
        <v>31</v>
      </c>
      <c r="P342" s="54">
        <v>0.0846375793153658</v>
      </c>
    </row>
    <row r="343" spans="1:16">
      <c r="A343" t="s">
        <v>1063</v>
      </c>
      <c r="B343" t="s">
        <v>1064</v>
      </c>
      <c r="C343" t="s">
        <v>1065</v>
      </c>
      <c r="D343" t="s">
        <v>53</v>
      </c>
      <c r="E343" t="s">
        <v>100</v>
      </c>
      <c r="F343" t="s">
        <v>101</v>
      </c>
      <c r="G343">
        <v>1</v>
      </c>
      <c r="H343">
        <v>4356.98</v>
      </c>
      <c r="I343">
        <v>0</v>
      </c>
      <c r="J343">
        <v>4356.98</v>
      </c>
      <c r="K343">
        <v>666.58</v>
      </c>
      <c r="L343">
        <v>2.3</v>
      </c>
      <c r="M343" s="53">
        <v>44934</v>
      </c>
      <c r="N343" t="s">
        <v>30</v>
      </c>
      <c r="O343" t="s">
        <v>31</v>
      </c>
      <c r="P343" s="54">
        <v>0.152991292133542</v>
      </c>
    </row>
    <row r="344" spans="1:16">
      <c r="A344" t="s">
        <v>1066</v>
      </c>
      <c r="B344" t="s">
        <v>142</v>
      </c>
      <c r="C344" t="s">
        <v>1067</v>
      </c>
      <c r="D344" t="s">
        <v>19</v>
      </c>
      <c r="E344" t="s">
        <v>129</v>
      </c>
      <c r="F344" t="s">
        <v>302</v>
      </c>
      <c r="G344">
        <v>4</v>
      </c>
      <c r="H344">
        <v>11159.16</v>
      </c>
      <c r="I344">
        <v>0</v>
      </c>
      <c r="J344">
        <v>44636.64</v>
      </c>
      <c r="K344">
        <v>10707.91</v>
      </c>
      <c r="L344">
        <v>2.7</v>
      </c>
      <c r="M344" s="53">
        <v>45403</v>
      </c>
      <c r="N344" t="s">
        <v>56</v>
      </c>
      <c r="O344" t="s">
        <v>57</v>
      </c>
      <c r="P344" s="54">
        <v>0.239890592123422</v>
      </c>
    </row>
    <row r="345" spans="1:16">
      <c r="A345" t="s">
        <v>1068</v>
      </c>
      <c r="B345" t="s">
        <v>132</v>
      </c>
      <c r="C345" t="s">
        <v>1069</v>
      </c>
      <c r="D345" t="s">
        <v>27</v>
      </c>
      <c r="E345" t="s">
        <v>117</v>
      </c>
      <c r="F345" t="s">
        <v>505</v>
      </c>
      <c r="G345">
        <v>4</v>
      </c>
      <c r="H345">
        <v>12396.71</v>
      </c>
      <c r="I345">
        <v>0.05</v>
      </c>
      <c r="J345">
        <v>47107.5</v>
      </c>
      <c r="K345">
        <v>5917.77</v>
      </c>
      <c r="L345">
        <v>1.9</v>
      </c>
      <c r="M345" s="53">
        <v>45109</v>
      </c>
      <c r="N345" t="s">
        <v>56</v>
      </c>
      <c r="O345" t="s">
        <v>31</v>
      </c>
      <c r="P345" s="54">
        <v>0.125622671549116</v>
      </c>
    </row>
    <row r="346" spans="1:16">
      <c r="A346" t="s">
        <v>1070</v>
      </c>
      <c r="B346" t="s">
        <v>1071</v>
      </c>
      <c r="C346" t="s">
        <v>1072</v>
      </c>
      <c r="D346" t="s">
        <v>40</v>
      </c>
      <c r="E346" t="s">
        <v>81</v>
      </c>
      <c r="F346" t="s">
        <v>358</v>
      </c>
      <c r="G346">
        <v>2</v>
      </c>
      <c r="H346">
        <v>7636.55</v>
      </c>
      <c r="I346">
        <v>0.15</v>
      </c>
      <c r="J346">
        <v>12982.14</v>
      </c>
      <c r="K346">
        <v>1280.28</v>
      </c>
      <c r="L346">
        <v>2.2</v>
      </c>
      <c r="M346" s="53">
        <v>45247</v>
      </c>
      <c r="N346" t="s">
        <v>43</v>
      </c>
      <c r="O346" t="s">
        <v>57</v>
      </c>
      <c r="P346" s="54">
        <v>0.0986185636574556</v>
      </c>
    </row>
    <row r="347" spans="1:16">
      <c r="A347" t="s">
        <v>1073</v>
      </c>
      <c r="B347" t="s">
        <v>1074</v>
      </c>
      <c r="C347" t="s">
        <v>1075</v>
      </c>
      <c r="D347" t="s">
        <v>19</v>
      </c>
      <c r="E347" t="s">
        <v>20</v>
      </c>
      <c r="F347" t="s">
        <v>134</v>
      </c>
      <c r="G347">
        <v>3</v>
      </c>
      <c r="H347">
        <v>5865.33</v>
      </c>
      <c r="I347">
        <v>0.05</v>
      </c>
      <c r="J347">
        <v>16716.19</v>
      </c>
      <c r="K347">
        <v>1217.65</v>
      </c>
      <c r="L347">
        <v>1.2</v>
      </c>
      <c r="M347" s="53">
        <v>45028</v>
      </c>
      <c r="N347" t="s">
        <v>43</v>
      </c>
      <c r="O347" t="s">
        <v>57</v>
      </c>
      <c r="P347" s="54">
        <v>0.0728425556302004</v>
      </c>
    </row>
    <row r="348" spans="1:16">
      <c r="A348" t="s">
        <v>1076</v>
      </c>
      <c r="B348" t="s">
        <v>239</v>
      </c>
      <c r="C348" t="s">
        <v>1077</v>
      </c>
      <c r="D348" t="s">
        <v>53</v>
      </c>
      <c r="E348" t="s">
        <v>54</v>
      </c>
      <c r="F348" t="s">
        <v>55</v>
      </c>
      <c r="G348">
        <v>3</v>
      </c>
      <c r="H348">
        <v>7315.78</v>
      </c>
      <c r="I348">
        <v>0.05</v>
      </c>
      <c r="J348">
        <v>20849.97</v>
      </c>
      <c r="K348">
        <v>2077.72</v>
      </c>
      <c r="L348">
        <v>3.3</v>
      </c>
      <c r="M348" s="53">
        <v>45383</v>
      </c>
      <c r="N348" t="s">
        <v>43</v>
      </c>
      <c r="O348" t="s">
        <v>57</v>
      </c>
      <c r="P348" s="54">
        <v>0.0996509827112461</v>
      </c>
    </row>
    <row r="349" spans="1:16">
      <c r="A349" t="s">
        <v>1078</v>
      </c>
      <c r="B349" t="s">
        <v>1079</v>
      </c>
      <c r="C349" t="s">
        <v>1080</v>
      </c>
      <c r="D349" t="s">
        <v>40</v>
      </c>
      <c r="E349" t="s">
        <v>262</v>
      </c>
      <c r="F349" t="s">
        <v>385</v>
      </c>
      <c r="G349">
        <v>5</v>
      </c>
      <c r="H349">
        <v>16185.87</v>
      </c>
      <c r="I349">
        <v>0</v>
      </c>
      <c r="J349">
        <v>80929.35</v>
      </c>
      <c r="K349">
        <v>15238.51</v>
      </c>
      <c r="L349">
        <v>2.1</v>
      </c>
      <c r="M349" s="53">
        <v>45441</v>
      </c>
      <c r="N349" t="s">
        <v>56</v>
      </c>
      <c r="O349" t="s">
        <v>44</v>
      </c>
      <c r="P349" s="54">
        <v>0.188293987286442</v>
      </c>
    </row>
    <row r="350" spans="1:16">
      <c r="A350" t="s">
        <v>1081</v>
      </c>
      <c r="B350" t="s">
        <v>1082</v>
      </c>
      <c r="C350" t="s">
        <v>1083</v>
      </c>
      <c r="D350" t="s">
        <v>27</v>
      </c>
      <c r="E350" t="s">
        <v>233</v>
      </c>
      <c r="F350" t="s">
        <v>362</v>
      </c>
      <c r="G350">
        <v>4</v>
      </c>
      <c r="H350">
        <v>5567.12</v>
      </c>
      <c r="I350">
        <v>0</v>
      </c>
      <c r="J350">
        <v>22268.48</v>
      </c>
      <c r="K350">
        <v>5467.14</v>
      </c>
      <c r="L350">
        <v>1.3</v>
      </c>
      <c r="M350" s="53">
        <v>45391</v>
      </c>
      <c r="N350" t="s">
        <v>56</v>
      </c>
      <c r="O350" t="s">
        <v>31</v>
      </c>
      <c r="P350" s="54">
        <v>0.245510245872193</v>
      </c>
    </row>
    <row r="351" spans="1:16">
      <c r="A351" t="s">
        <v>1084</v>
      </c>
      <c r="B351" t="s">
        <v>411</v>
      </c>
      <c r="C351" t="s">
        <v>1085</v>
      </c>
      <c r="D351" t="s">
        <v>27</v>
      </c>
      <c r="E351" t="s">
        <v>48</v>
      </c>
      <c r="F351" t="s">
        <v>49</v>
      </c>
      <c r="G351">
        <v>2</v>
      </c>
      <c r="H351">
        <v>6461.76</v>
      </c>
      <c r="I351">
        <v>0.15</v>
      </c>
      <c r="J351">
        <v>10984.99</v>
      </c>
      <c r="K351">
        <v>2158.21</v>
      </c>
      <c r="L351">
        <v>2.8</v>
      </c>
      <c r="M351" s="53">
        <v>45510</v>
      </c>
      <c r="N351" t="s">
        <v>56</v>
      </c>
      <c r="O351" t="s">
        <v>31</v>
      </c>
      <c r="P351" s="54">
        <v>0.19646899997178</v>
      </c>
    </row>
    <row r="352" spans="1:16">
      <c r="A352" t="s">
        <v>1086</v>
      </c>
      <c r="B352" t="s">
        <v>1087</v>
      </c>
      <c r="C352" t="s">
        <v>1088</v>
      </c>
      <c r="D352" t="s">
        <v>27</v>
      </c>
      <c r="E352" t="s">
        <v>117</v>
      </c>
      <c r="F352" t="s">
        <v>192</v>
      </c>
      <c r="G352">
        <v>5</v>
      </c>
      <c r="H352">
        <v>8472.56</v>
      </c>
      <c r="I352">
        <v>0.05</v>
      </c>
      <c r="J352">
        <v>40244.66</v>
      </c>
      <c r="K352">
        <v>2566.86</v>
      </c>
      <c r="L352">
        <v>2.6</v>
      </c>
      <c r="M352" s="53">
        <v>45609</v>
      </c>
      <c r="N352" t="s">
        <v>22</v>
      </c>
      <c r="O352" t="s">
        <v>73</v>
      </c>
      <c r="P352" s="54">
        <v>0.0637813811820003</v>
      </c>
    </row>
    <row r="353" spans="1:16">
      <c r="A353" t="s">
        <v>1089</v>
      </c>
      <c r="B353" t="s">
        <v>1090</v>
      </c>
      <c r="C353" t="s">
        <v>1091</v>
      </c>
      <c r="D353" t="s">
        <v>19</v>
      </c>
      <c r="E353" t="s">
        <v>35</v>
      </c>
      <c r="F353" t="s">
        <v>215</v>
      </c>
      <c r="G353">
        <v>1</v>
      </c>
      <c r="H353">
        <v>11207.47</v>
      </c>
      <c r="I353">
        <v>0.05</v>
      </c>
      <c r="J353">
        <v>10647.1</v>
      </c>
      <c r="K353">
        <v>2419.24</v>
      </c>
      <c r="L353">
        <v>1.6</v>
      </c>
      <c r="M353" s="53">
        <v>45212</v>
      </c>
      <c r="N353" t="s">
        <v>43</v>
      </c>
      <c r="O353" t="s">
        <v>23</v>
      </c>
      <c r="P353" s="54">
        <v>0.22722055771055</v>
      </c>
    </row>
    <row r="354" spans="1:16">
      <c r="A354" t="s">
        <v>1092</v>
      </c>
      <c r="B354" t="s">
        <v>1093</v>
      </c>
      <c r="C354" t="s">
        <v>1094</v>
      </c>
      <c r="D354" t="s">
        <v>53</v>
      </c>
      <c r="E354" t="s">
        <v>95</v>
      </c>
      <c r="F354" t="s">
        <v>524</v>
      </c>
      <c r="G354">
        <v>1</v>
      </c>
      <c r="H354">
        <v>2739.2</v>
      </c>
      <c r="I354">
        <v>0.1</v>
      </c>
      <c r="J354">
        <v>2465.28</v>
      </c>
      <c r="K354">
        <v>305.61</v>
      </c>
      <c r="L354">
        <v>4.3</v>
      </c>
      <c r="M354" s="53">
        <v>45405</v>
      </c>
      <c r="N354" t="s">
        <v>43</v>
      </c>
      <c r="O354" t="s">
        <v>23</v>
      </c>
      <c r="P354" s="54">
        <v>0.123965634735203</v>
      </c>
    </row>
    <row r="355" spans="1:16">
      <c r="A355" t="s">
        <v>1095</v>
      </c>
      <c r="B355" t="s">
        <v>507</v>
      </c>
      <c r="C355" t="s">
        <v>1096</v>
      </c>
      <c r="D355" t="s">
        <v>19</v>
      </c>
      <c r="E355" t="s">
        <v>35</v>
      </c>
      <c r="F355" t="s">
        <v>36</v>
      </c>
      <c r="G355">
        <v>2</v>
      </c>
      <c r="H355">
        <v>13611.29</v>
      </c>
      <c r="I355">
        <v>0.2</v>
      </c>
      <c r="J355">
        <v>21778.06</v>
      </c>
      <c r="K355">
        <v>4680.25</v>
      </c>
      <c r="L355">
        <v>2</v>
      </c>
      <c r="M355" s="53">
        <v>45094</v>
      </c>
      <c r="N355" t="s">
        <v>43</v>
      </c>
      <c r="O355" t="s">
        <v>44</v>
      </c>
      <c r="P355" s="54">
        <v>0.214906653760711</v>
      </c>
    </row>
    <row r="356" spans="1:16">
      <c r="A356" t="s">
        <v>1097</v>
      </c>
      <c r="B356" t="s">
        <v>1098</v>
      </c>
      <c r="C356" t="s">
        <v>1099</v>
      </c>
      <c r="D356" t="s">
        <v>27</v>
      </c>
      <c r="E356" t="s">
        <v>117</v>
      </c>
      <c r="F356" t="s">
        <v>505</v>
      </c>
      <c r="G356">
        <v>5</v>
      </c>
      <c r="H356">
        <v>8883.7</v>
      </c>
      <c r="I356">
        <v>0.1</v>
      </c>
      <c r="J356">
        <v>39976.65</v>
      </c>
      <c r="K356">
        <v>7247.21</v>
      </c>
      <c r="L356">
        <v>3.9</v>
      </c>
      <c r="M356" s="53">
        <v>45617</v>
      </c>
      <c r="N356" t="s">
        <v>22</v>
      </c>
      <c r="O356" t="s">
        <v>31</v>
      </c>
      <c r="P356" s="54">
        <v>0.181286075746717</v>
      </c>
    </row>
    <row r="357" spans="1:16">
      <c r="A357" t="s">
        <v>1100</v>
      </c>
      <c r="B357" t="s">
        <v>213</v>
      </c>
      <c r="C357" t="s">
        <v>1101</v>
      </c>
      <c r="D357" t="s">
        <v>53</v>
      </c>
      <c r="E357" t="s">
        <v>95</v>
      </c>
      <c r="F357" t="s">
        <v>96</v>
      </c>
      <c r="G357">
        <v>3</v>
      </c>
      <c r="H357">
        <v>7562.37</v>
      </c>
      <c r="I357">
        <v>0</v>
      </c>
      <c r="J357">
        <v>22687.11</v>
      </c>
      <c r="K357">
        <v>2168.39</v>
      </c>
      <c r="L357">
        <v>3.4</v>
      </c>
      <c r="M357" s="53">
        <v>45353</v>
      </c>
      <c r="N357" t="s">
        <v>30</v>
      </c>
      <c r="O357" t="s">
        <v>57</v>
      </c>
      <c r="P357" s="54">
        <v>0.0955780617275625</v>
      </c>
    </row>
    <row r="358" spans="1:16">
      <c r="A358" t="s">
        <v>1102</v>
      </c>
      <c r="B358" t="s">
        <v>1103</v>
      </c>
      <c r="C358" t="s">
        <v>1104</v>
      </c>
      <c r="D358" t="s">
        <v>53</v>
      </c>
      <c r="E358" t="s">
        <v>54</v>
      </c>
      <c r="F358" t="s">
        <v>55</v>
      </c>
      <c r="G358">
        <v>1</v>
      </c>
      <c r="H358">
        <v>9433.45</v>
      </c>
      <c r="I358">
        <v>0.2</v>
      </c>
      <c r="J358">
        <v>7546.76</v>
      </c>
      <c r="K358">
        <v>1402.07</v>
      </c>
      <c r="L358">
        <v>4.9</v>
      </c>
      <c r="M358" s="53">
        <v>45148</v>
      </c>
      <c r="N358" t="s">
        <v>30</v>
      </c>
      <c r="O358" t="s">
        <v>31</v>
      </c>
      <c r="P358" s="54">
        <v>0.185784363090916</v>
      </c>
    </row>
    <row r="359" spans="1:16">
      <c r="A359" t="s">
        <v>1105</v>
      </c>
      <c r="B359" t="s">
        <v>375</v>
      </c>
      <c r="C359" t="s">
        <v>1106</v>
      </c>
      <c r="D359" t="s">
        <v>40</v>
      </c>
      <c r="E359" t="s">
        <v>262</v>
      </c>
      <c r="F359" t="s">
        <v>263</v>
      </c>
      <c r="G359">
        <v>1</v>
      </c>
      <c r="H359">
        <v>17221.33</v>
      </c>
      <c r="I359">
        <v>0</v>
      </c>
      <c r="J359">
        <v>17221.33</v>
      </c>
      <c r="K359">
        <v>2192.47</v>
      </c>
      <c r="L359">
        <v>1.9</v>
      </c>
      <c r="M359" s="53">
        <v>44947</v>
      </c>
      <c r="N359" t="s">
        <v>43</v>
      </c>
      <c r="O359" t="s">
        <v>73</v>
      </c>
      <c r="P359" s="54">
        <v>0.127311305224393</v>
      </c>
    </row>
    <row r="360" spans="1:16">
      <c r="A360" t="s">
        <v>1107</v>
      </c>
      <c r="B360" t="s">
        <v>1108</v>
      </c>
      <c r="C360" t="s">
        <v>1109</v>
      </c>
      <c r="D360" t="s">
        <v>19</v>
      </c>
      <c r="E360" t="s">
        <v>129</v>
      </c>
      <c r="F360" t="s">
        <v>167</v>
      </c>
      <c r="G360">
        <v>5</v>
      </c>
      <c r="H360">
        <v>2342.37</v>
      </c>
      <c r="I360">
        <v>0.2</v>
      </c>
      <c r="J360">
        <v>9369.48</v>
      </c>
      <c r="K360">
        <v>1388.6</v>
      </c>
      <c r="L360">
        <v>1.9</v>
      </c>
      <c r="M360" s="53">
        <v>45506</v>
      </c>
      <c r="N360" t="s">
        <v>22</v>
      </c>
      <c r="O360" t="s">
        <v>73</v>
      </c>
      <c r="P360" s="54">
        <v>0.148204596199576</v>
      </c>
    </row>
    <row r="361" spans="1:16">
      <c r="A361" t="s">
        <v>1110</v>
      </c>
      <c r="B361" t="s">
        <v>401</v>
      </c>
      <c r="C361" t="s">
        <v>1111</v>
      </c>
      <c r="D361" t="s">
        <v>27</v>
      </c>
      <c r="E361" t="s">
        <v>28</v>
      </c>
      <c r="F361" t="s">
        <v>105</v>
      </c>
      <c r="G361">
        <v>5</v>
      </c>
      <c r="H361">
        <v>6786.05</v>
      </c>
      <c r="I361">
        <v>0</v>
      </c>
      <c r="J361">
        <v>33930.25</v>
      </c>
      <c r="K361">
        <v>4162.33</v>
      </c>
      <c r="L361">
        <v>4.1</v>
      </c>
      <c r="M361" s="53">
        <v>45327</v>
      </c>
      <c r="N361" t="s">
        <v>22</v>
      </c>
      <c r="O361" t="s">
        <v>73</v>
      </c>
      <c r="P361" s="54">
        <v>0.12267313090826</v>
      </c>
    </row>
    <row r="362" spans="1:16">
      <c r="A362" t="s">
        <v>1112</v>
      </c>
      <c r="B362" t="s">
        <v>1113</v>
      </c>
      <c r="C362" t="s">
        <v>1114</v>
      </c>
      <c r="D362" t="s">
        <v>53</v>
      </c>
      <c r="E362" t="s">
        <v>95</v>
      </c>
      <c r="F362" t="s">
        <v>96</v>
      </c>
      <c r="G362">
        <v>5</v>
      </c>
      <c r="H362">
        <v>9850.96</v>
      </c>
      <c r="I362">
        <v>0.15</v>
      </c>
      <c r="J362">
        <v>41866.58</v>
      </c>
      <c r="K362">
        <v>9818.23</v>
      </c>
      <c r="L362">
        <v>3.1</v>
      </c>
      <c r="M362" s="53">
        <v>45189</v>
      </c>
      <c r="N362" t="s">
        <v>22</v>
      </c>
      <c r="O362" t="s">
        <v>57</v>
      </c>
      <c r="P362" s="54">
        <v>0.234512348512823</v>
      </c>
    </row>
    <row r="363" spans="1:16">
      <c r="A363" t="s">
        <v>1115</v>
      </c>
      <c r="B363" t="s">
        <v>1116</v>
      </c>
      <c r="C363" t="s">
        <v>1117</v>
      </c>
      <c r="D363" t="s">
        <v>27</v>
      </c>
      <c r="E363" t="s">
        <v>117</v>
      </c>
      <c r="F363" t="s">
        <v>225</v>
      </c>
      <c r="G363">
        <v>3</v>
      </c>
      <c r="H363">
        <v>9664.49</v>
      </c>
      <c r="I363">
        <v>0</v>
      </c>
      <c r="J363">
        <v>28993.47</v>
      </c>
      <c r="K363">
        <v>3626.39</v>
      </c>
      <c r="L363">
        <v>1.8</v>
      </c>
      <c r="M363" s="53">
        <v>45557</v>
      </c>
      <c r="N363" t="s">
        <v>56</v>
      </c>
      <c r="O363" t="s">
        <v>57</v>
      </c>
      <c r="P363" s="54">
        <v>0.125076094720639</v>
      </c>
    </row>
    <row r="364" spans="1:16">
      <c r="A364" t="s">
        <v>1118</v>
      </c>
      <c r="B364" t="s">
        <v>1119</v>
      </c>
      <c r="C364" t="s">
        <v>1120</v>
      </c>
      <c r="D364" t="s">
        <v>19</v>
      </c>
      <c r="E364" t="s">
        <v>35</v>
      </c>
      <c r="F364" t="s">
        <v>245</v>
      </c>
      <c r="G364">
        <v>5</v>
      </c>
      <c r="H364">
        <v>12942.94</v>
      </c>
      <c r="I364">
        <v>0.1</v>
      </c>
      <c r="J364">
        <v>58243.23</v>
      </c>
      <c r="K364">
        <v>10595.98</v>
      </c>
      <c r="L364">
        <v>2.2</v>
      </c>
      <c r="M364" s="53">
        <v>45227</v>
      </c>
      <c r="N364" t="s">
        <v>22</v>
      </c>
      <c r="O364" t="s">
        <v>44</v>
      </c>
      <c r="P364" s="54">
        <v>0.181926380113191</v>
      </c>
    </row>
    <row r="365" spans="1:16">
      <c r="A365" t="s">
        <v>1121</v>
      </c>
      <c r="B365" t="s">
        <v>998</v>
      </c>
      <c r="C365" t="s">
        <v>1122</v>
      </c>
      <c r="D365" t="s">
        <v>40</v>
      </c>
      <c r="E365" t="s">
        <v>174</v>
      </c>
      <c r="F365" t="s">
        <v>313</v>
      </c>
      <c r="G365">
        <v>1</v>
      </c>
      <c r="H365">
        <v>6013.16</v>
      </c>
      <c r="I365">
        <v>0.1</v>
      </c>
      <c r="J365">
        <v>5411.84</v>
      </c>
      <c r="K365">
        <v>721.25</v>
      </c>
      <c r="L365">
        <v>4.3</v>
      </c>
      <c r="M365" s="53">
        <v>45395</v>
      </c>
      <c r="N365" t="s">
        <v>43</v>
      </c>
      <c r="O365" t="s">
        <v>44</v>
      </c>
      <c r="P365" s="54">
        <v>0.133272602294229</v>
      </c>
    </row>
    <row r="366" spans="1:16">
      <c r="A366" t="s">
        <v>1123</v>
      </c>
      <c r="B366" t="s">
        <v>1124</v>
      </c>
      <c r="C366" t="s">
        <v>1125</v>
      </c>
      <c r="D366" t="s">
        <v>53</v>
      </c>
      <c r="E366" t="s">
        <v>95</v>
      </c>
      <c r="F366" t="s">
        <v>96</v>
      </c>
      <c r="G366">
        <v>1</v>
      </c>
      <c r="H366">
        <v>8296.06</v>
      </c>
      <c r="I366">
        <v>0.1</v>
      </c>
      <c r="J366">
        <v>7466.45</v>
      </c>
      <c r="K366">
        <v>527.99</v>
      </c>
      <c r="L366">
        <v>2.6</v>
      </c>
      <c r="M366" s="53">
        <v>45328</v>
      </c>
      <c r="N366" t="s">
        <v>56</v>
      </c>
      <c r="O366" t="s">
        <v>31</v>
      </c>
      <c r="P366" s="54">
        <v>0.0707149984262936</v>
      </c>
    </row>
    <row r="367" spans="1:16">
      <c r="A367" t="s">
        <v>1126</v>
      </c>
      <c r="B367" t="s">
        <v>207</v>
      </c>
      <c r="C367" t="s">
        <v>1127</v>
      </c>
      <c r="D367" t="s">
        <v>53</v>
      </c>
      <c r="E367" t="s">
        <v>100</v>
      </c>
      <c r="F367" t="s">
        <v>271</v>
      </c>
      <c r="G367">
        <v>3</v>
      </c>
      <c r="H367">
        <v>17163.79</v>
      </c>
      <c r="I367">
        <v>0.2</v>
      </c>
      <c r="J367">
        <v>41193.1</v>
      </c>
      <c r="K367">
        <v>6528.53</v>
      </c>
      <c r="L367">
        <v>1.1</v>
      </c>
      <c r="M367" s="53">
        <v>44967</v>
      </c>
      <c r="N367" t="s">
        <v>43</v>
      </c>
      <c r="O367" t="s">
        <v>31</v>
      </c>
      <c r="P367" s="54">
        <v>0.158486008579107</v>
      </c>
    </row>
    <row r="368" spans="1:16">
      <c r="A368" t="s">
        <v>1128</v>
      </c>
      <c r="B368" t="s">
        <v>1129</v>
      </c>
      <c r="C368" t="s">
        <v>1130</v>
      </c>
      <c r="D368" t="s">
        <v>40</v>
      </c>
      <c r="E368" t="s">
        <v>41</v>
      </c>
      <c r="F368" t="s">
        <v>154</v>
      </c>
      <c r="G368">
        <v>4</v>
      </c>
      <c r="H368">
        <v>17369.75</v>
      </c>
      <c r="I368">
        <v>0.1</v>
      </c>
      <c r="J368">
        <v>62531.1</v>
      </c>
      <c r="K368">
        <v>13425.58</v>
      </c>
      <c r="L368">
        <v>4.6</v>
      </c>
      <c r="M368" s="53">
        <v>45189</v>
      </c>
      <c r="N368" t="s">
        <v>30</v>
      </c>
      <c r="O368" t="s">
        <v>57</v>
      </c>
      <c r="P368" s="54">
        <v>0.214702444063834</v>
      </c>
    </row>
    <row r="369" spans="1:16">
      <c r="A369" t="s">
        <v>1131</v>
      </c>
      <c r="B369" t="s">
        <v>411</v>
      </c>
      <c r="C369" t="s">
        <v>1132</v>
      </c>
      <c r="D369" t="s">
        <v>40</v>
      </c>
      <c r="E369" t="s">
        <v>41</v>
      </c>
      <c r="F369" t="s">
        <v>154</v>
      </c>
      <c r="G369">
        <v>3</v>
      </c>
      <c r="H369">
        <v>15767.64</v>
      </c>
      <c r="I369">
        <v>0.15</v>
      </c>
      <c r="J369">
        <v>40207.48</v>
      </c>
      <c r="K369">
        <v>4275.06</v>
      </c>
      <c r="L369">
        <v>1.2</v>
      </c>
      <c r="M369" s="53">
        <v>44978</v>
      </c>
      <c r="N369" t="s">
        <v>22</v>
      </c>
      <c r="O369" t="s">
        <v>57</v>
      </c>
      <c r="P369" s="54">
        <v>0.106324992265121</v>
      </c>
    </row>
    <row r="370" spans="1:16">
      <c r="A370" t="s">
        <v>1133</v>
      </c>
      <c r="B370" t="s">
        <v>1134</v>
      </c>
      <c r="C370" t="s">
        <v>1135</v>
      </c>
      <c r="D370" t="s">
        <v>53</v>
      </c>
      <c r="E370" t="s">
        <v>95</v>
      </c>
      <c r="F370" t="s">
        <v>96</v>
      </c>
      <c r="G370">
        <v>1</v>
      </c>
      <c r="H370">
        <v>11934.71</v>
      </c>
      <c r="I370">
        <v>0.2</v>
      </c>
      <c r="J370">
        <v>9547.77</v>
      </c>
      <c r="K370">
        <v>708.79</v>
      </c>
      <c r="L370">
        <v>2.7</v>
      </c>
      <c r="M370" s="53">
        <v>45485</v>
      </c>
      <c r="N370" t="s">
        <v>43</v>
      </c>
      <c r="O370" t="s">
        <v>31</v>
      </c>
      <c r="P370" s="54">
        <v>0.0742361828992529</v>
      </c>
    </row>
    <row r="371" spans="1:16">
      <c r="A371" t="s">
        <v>1136</v>
      </c>
      <c r="B371" t="s">
        <v>1137</v>
      </c>
      <c r="C371" t="s">
        <v>1138</v>
      </c>
      <c r="D371" t="s">
        <v>19</v>
      </c>
      <c r="E371" t="s">
        <v>20</v>
      </c>
      <c r="F371" t="s">
        <v>134</v>
      </c>
      <c r="G371">
        <v>3</v>
      </c>
      <c r="H371">
        <v>16284.58</v>
      </c>
      <c r="I371">
        <v>0.1</v>
      </c>
      <c r="J371">
        <v>43968.37</v>
      </c>
      <c r="K371">
        <v>4813.05</v>
      </c>
      <c r="L371">
        <v>3.7</v>
      </c>
      <c r="M371" s="53">
        <v>45616</v>
      </c>
      <c r="N371" t="s">
        <v>43</v>
      </c>
      <c r="O371" t="s">
        <v>57</v>
      </c>
      <c r="P371" s="54">
        <v>0.109466191264311</v>
      </c>
    </row>
    <row r="372" spans="1:16">
      <c r="A372" t="s">
        <v>1139</v>
      </c>
      <c r="B372" t="s">
        <v>1140</v>
      </c>
      <c r="C372" t="s">
        <v>1141</v>
      </c>
      <c r="D372" t="s">
        <v>27</v>
      </c>
      <c r="E372" t="s">
        <v>117</v>
      </c>
      <c r="F372" t="s">
        <v>192</v>
      </c>
      <c r="G372">
        <v>1</v>
      </c>
      <c r="H372">
        <v>6355.51</v>
      </c>
      <c r="I372">
        <v>0.2</v>
      </c>
      <c r="J372">
        <v>5084.41</v>
      </c>
      <c r="K372">
        <v>670.24</v>
      </c>
      <c r="L372">
        <v>1.2</v>
      </c>
      <c r="M372" s="53">
        <v>44991</v>
      </c>
      <c r="N372" t="s">
        <v>43</v>
      </c>
      <c r="O372" t="s">
        <v>31</v>
      </c>
      <c r="P372" s="54">
        <v>0.131822571350461</v>
      </c>
    </row>
    <row r="373" spans="1:16">
      <c r="A373" t="s">
        <v>1142</v>
      </c>
      <c r="B373" t="s">
        <v>1143</v>
      </c>
      <c r="C373" t="s">
        <v>1144</v>
      </c>
      <c r="D373" t="s">
        <v>40</v>
      </c>
      <c r="E373" t="s">
        <v>81</v>
      </c>
      <c r="F373" t="s">
        <v>241</v>
      </c>
      <c r="G373">
        <v>3</v>
      </c>
      <c r="H373">
        <v>8894.85</v>
      </c>
      <c r="I373">
        <v>0.2</v>
      </c>
      <c r="J373">
        <v>21347.64</v>
      </c>
      <c r="K373">
        <v>2294.36</v>
      </c>
      <c r="L373">
        <v>2.4</v>
      </c>
      <c r="M373" s="53">
        <v>45477</v>
      </c>
      <c r="N373" t="s">
        <v>43</v>
      </c>
      <c r="O373" t="s">
        <v>57</v>
      </c>
      <c r="P373" s="54">
        <v>0.107476048874723</v>
      </c>
    </row>
    <row r="374" spans="1:16">
      <c r="A374" t="s">
        <v>1145</v>
      </c>
      <c r="B374" t="s">
        <v>1146</v>
      </c>
      <c r="C374" t="s">
        <v>1147</v>
      </c>
      <c r="D374" t="s">
        <v>27</v>
      </c>
      <c r="E374" t="s">
        <v>117</v>
      </c>
      <c r="F374" t="s">
        <v>505</v>
      </c>
      <c r="G374">
        <v>5</v>
      </c>
      <c r="H374">
        <v>15190.64</v>
      </c>
      <c r="I374">
        <v>0</v>
      </c>
      <c r="J374">
        <v>75953.2</v>
      </c>
      <c r="K374">
        <v>5715.83</v>
      </c>
      <c r="L374">
        <v>2.9</v>
      </c>
      <c r="M374" s="53">
        <v>45291</v>
      </c>
      <c r="N374" t="s">
        <v>56</v>
      </c>
      <c r="O374" t="s">
        <v>73</v>
      </c>
      <c r="P374" s="54">
        <v>0.0752546304829816</v>
      </c>
    </row>
    <row r="375" spans="1:16">
      <c r="A375" t="s">
        <v>1148</v>
      </c>
      <c r="B375" t="s">
        <v>1149</v>
      </c>
      <c r="C375" t="s">
        <v>1150</v>
      </c>
      <c r="D375" t="s">
        <v>40</v>
      </c>
      <c r="E375" t="s">
        <v>81</v>
      </c>
      <c r="F375" t="s">
        <v>263</v>
      </c>
      <c r="G375">
        <v>3</v>
      </c>
      <c r="H375">
        <v>7094.96</v>
      </c>
      <c r="I375">
        <v>0.05</v>
      </c>
      <c r="J375">
        <v>20220.64</v>
      </c>
      <c r="K375">
        <v>1218.77</v>
      </c>
      <c r="L375">
        <v>4.7</v>
      </c>
      <c r="M375" s="53">
        <v>45280</v>
      </c>
      <c r="N375" t="s">
        <v>22</v>
      </c>
      <c r="O375" t="s">
        <v>31</v>
      </c>
      <c r="P375" s="54">
        <v>0.0602735620633175</v>
      </c>
    </row>
    <row r="376" spans="1:16">
      <c r="A376" t="s">
        <v>1151</v>
      </c>
      <c r="B376" t="s">
        <v>1152</v>
      </c>
      <c r="C376" t="s">
        <v>1153</v>
      </c>
      <c r="D376" t="s">
        <v>19</v>
      </c>
      <c r="E376" t="s">
        <v>35</v>
      </c>
      <c r="F376" t="s">
        <v>121</v>
      </c>
      <c r="G376">
        <v>4</v>
      </c>
      <c r="H376">
        <v>14418.26</v>
      </c>
      <c r="I376">
        <v>0</v>
      </c>
      <c r="J376">
        <v>57673.04</v>
      </c>
      <c r="K376">
        <v>14323.22</v>
      </c>
      <c r="L376">
        <v>3.6</v>
      </c>
      <c r="M376" s="53">
        <v>45017</v>
      </c>
      <c r="N376" t="s">
        <v>56</v>
      </c>
      <c r="O376" t="s">
        <v>23</v>
      </c>
      <c r="P376" s="54">
        <v>0.248352089641885</v>
      </c>
    </row>
    <row r="377" spans="1:16">
      <c r="A377" t="s">
        <v>1154</v>
      </c>
      <c r="B377" t="s">
        <v>1155</v>
      </c>
      <c r="C377" t="s">
        <v>1156</v>
      </c>
      <c r="D377" t="s">
        <v>19</v>
      </c>
      <c r="E377" t="s">
        <v>86</v>
      </c>
      <c r="F377" t="s">
        <v>113</v>
      </c>
      <c r="G377">
        <v>3</v>
      </c>
      <c r="H377">
        <v>6357.97</v>
      </c>
      <c r="I377">
        <v>0.15</v>
      </c>
      <c r="J377">
        <v>16212.82</v>
      </c>
      <c r="K377">
        <v>3551.79</v>
      </c>
      <c r="L377">
        <v>1.2</v>
      </c>
      <c r="M377" s="53">
        <v>45121</v>
      </c>
      <c r="N377" t="s">
        <v>30</v>
      </c>
      <c r="O377" t="s">
        <v>73</v>
      </c>
      <c r="P377" s="54">
        <v>0.219072931174219</v>
      </c>
    </row>
    <row r="378" spans="1:16">
      <c r="A378" t="s">
        <v>1157</v>
      </c>
      <c r="B378" t="s">
        <v>696</v>
      </c>
      <c r="C378" t="s">
        <v>878</v>
      </c>
      <c r="D378" t="s">
        <v>53</v>
      </c>
      <c r="E378" t="s">
        <v>54</v>
      </c>
      <c r="F378" t="s">
        <v>249</v>
      </c>
      <c r="G378">
        <v>3</v>
      </c>
      <c r="H378">
        <v>16723.69</v>
      </c>
      <c r="I378">
        <v>0.05</v>
      </c>
      <c r="J378">
        <v>47662.52</v>
      </c>
      <c r="K378">
        <v>6342.59</v>
      </c>
      <c r="L378">
        <v>3.8</v>
      </c>
      <c r="M378" s="53">
        <v>45152</v>
      </c>
      <c r="N378" t="s">
        <v>22</v>
      </c>
      <c r="O378" t="s">
        <v>31</v>
      </c>
      <c r="P378" s="54">
        <v>0.133072905083491</v>
      </c>
    </row>
    <row r="379" spans="1:16">
      <c r="A379" t="s">
        <v>1158</v>
      </c>
      <c r="B379" t="s">
        <v>696</v>
      </c>
      <c r="C379" t="s">
        <v>1159</v>
      </c>
      <c r="D379" t="s">
        <v>40</v>
      </c>
      <c r="E379" t="s">
        <v>174</v>
      </c>
      <c r="F379" t="s">
        <v>175</v>
      </c>
      <c r="G379">
        <v>3</v>
      </c>
      <c r="H379">
        <v>11328.96</v>
      </c>
      <c r="I379">
        <v>0.2</v>
      </c>
      <c r="J379">
        <v>27189.5</v>
      </c>
      <c r="K379">
        <v>5487.39</v>
      </c>
      <c r="L379">
        <v>2.3</v>
      </c>
      <c r="M379" s="53">
        <v>45604</v>
      </c>
      <c r="N379" t="s">
        <v>43</v>
      </c>
      <c r="O379" t="s">
        <v>31</v>
      </c>
      <c r="P379" s="54">
        <v>0.201820187940197</v>
      </c>
    </row>
    <row r="380" spans="1:16">
      <c r="A380" t="s">
        <v>1160</v>
      </c>
      <c r="B380" t="s">
        <v>1161</v>
      </c>
      <c r="C380" t="s">
        <v>1162</v>
      </c>
      <c r="D380" t="s">
        <v>53</v>
      </c>
      <c r="E380" t="s">
        <v>71</v>
      </c>
      <c r="F380" t="s">
        <v>406</v>
      </c>
      <c r="G380">
        <v>5</v>
      </c>
      <c r="H380">
        <v>1912.05</v>
      </c>
      <c r="I380">
        <v>0.2</v>
      </c>
      <c r="J380">
        <v>7648.2</v>
      </c>
      <c r="K380">
        <v>1621.37</v>
      </c>
      <c r="L380">
        <v>4.5</v>
      </c>
      <c r="M380" s="53">
        <v>45028</v>
      </c>
      <c r="N380" t="s">
        <v>43</v>
      </c>
      <c r="O380" t="s">
        <v>31</v>
      </c>
      <c r="P380" s="54">
        <v>0.211993671713606</v>
      </c>
    </row>
    <row r="381" spans="1:16">
      <c r="A381" t="s">
        <v>1163</v>
      </c>
      <c r="B381" t="s">
        <v>1164</v>
      </c>
      <c r="C381" t="s">
        <v>1165</v>
      </c>
      <c r="D381" t="s">
        <v>53</v>
      </c>
      <c r="E381" t="s">
        <v>100</v>
      </c>
      <c r="F381" t="s">
        <v>101</v>
      </c>
      <c r="G381">
        <v>4</v>
      </c>
      <c r="H381">
        <v>6695.95</v>
      </c>
      <c r="I381">
        <v>0</v>
      </c>
      <c r="J381">
        <v>26783.8</v>
      </c>
      <c r="K381">
        <v>5321.3</v>
      </c>
      <c r="L381">
        <v>2.3</v>
      </c>
      <c r="M381" s="53">
        <v>45656</v>
      </c>
      <c r="N381" t="s">
        <v>30</v>
      </c>
      <c r="O381" t="s">
        <v>44</v>
      </c>
      <c r="P381" s="54">
        <v>0.198676065382806</v>
      </c>
    </row>
    <row r="382" spans="1:16">
      <c r="A382" t="s">
        <v>1166</v>
      </c>
      <c r="B382" t="s">
        <v>587</v>
      </c>
      <c r="C382" t="s">
        <v>1167</v>
      </c>
      <c r="D382" t="s">
        <v>40</v>
      </c>
      <c r="E382" t="s">
        <v>262</v>
      </c>
      <c r="F382" t="s">
        <v>345</v>
      </c>
      <c r="G382">
        <v>5</v>
      </c>
      <c r="H382">
        <v>855.52</v>
      </c>
      <c r="I382">
        <v>0</v>
      </c>
      <c r="J382">
        <v>4277.6</v>
      </c>
      <c r="K382">
        <v>547.72</v>
      </c>
      <c r="L382">
        <v>3.8</v>
      </c>
      <c r="M382" s="53">
        <v>45153</v>
      </c>
      <c r="N382" t="s">
        <v>30</v>
      </c>
      <c r="O382" t="s">
        <v>23</v>
      </c>
      <c r="P382" s="54">
        <v>0.128043762857677</v>
      </c>
    </row>
    <row r="383" spans="1:16">
      <c r="A383" t="s">
        <v>1168</v>
      </c>
      <c r="B383" t="s">
        <v>1169</v>
      </c>
      <c r="C383" t="s">
        <v>1170</v>
      </c>
      <c r="D383" t="s">
        <v>53</v>
      </c>
      <c r="E383" t="s">
        <v>71</v>
      </c>
      <c r="F383" t="s">
        <v>225</v>
      </c>
      <c r="G383">
        <v>3</v>
      </c>
      <c r="H383">
        <v>2428.95</v>
      </c>
      <c r="I383">
        <v>0.15</v>
      </c>
      <c r="J383">
        <v>6193.82</v>
      </c>
      <c r="K383">
        <v>606.84</v>
      </c>
      <c r="L383">
        <v>2</v>
      </c>
      <c r="M383" s="53">
        <v>45524</v>
      </c>
      <c r="N383" t="s">
        <v>30</v>
      </c>
      <c r="O383" t="s">
        <v>31</v>
      </c>
      <c r="P383" s="54">
        <v>0.0979750783845834</v>
      </c>
    </row>
    <row r="384" spans="1:16">
      <c r="A384" t="s">
        <v>1171</v>
      </c>
      <c r="B384" t="s">
        <v>308</v>
      </c>
      <c r="C384" t="s">
        <v>1172</v>
      </c>
      <c r="D384" t="s">
        <v>27</v>
      </c>
      <c r="E384" t="s">
        <v>28</v>
      </c>
      <c r="F384" t="s">
        <v>105</v>
      </c>
      <c r="G384">
        <v>5</v>
      </c>
      <c r="H384">
        <v>18396.11</v>
      </c>
      <c r="I384">
        <v>0.05</v>
      </c>
      <c r="J384">
        <v>87381.52</v>
      </c>
      <c r="K384">
        <v>19797</v>
      </c>
      <c r="L384">
        <v>4.4</v>
      </c>
      <c r="M384" s="53">
        <v>45217</v>
      </c>
      <c r="N384" t="s">
        <v>56</v>
      </c>
      <c r="O384" t="s">
        <v>31</v>
      </c>
      <c r="P384" s="54">
        <v>0.226558201322202</v>
      </c>
    </row>
    <row r="385" spans="1:16">
      <c r="A385" t="s">
        <v>1173</v>
      </c>
      <c r="B385" t="s">
        <v>288</v>
      </c>
      <c r="C385" t="s">
        <v>1174</v>
      </c>
      <c r="D385" t="s">
        <v>19</v>
      </c>
      <c r="E385" t="s">
        <v>129</v>
      </c>
      <c r="F385" t="s">
        <v>320</v>
      </c>
      <c r="G385">
        <v>2</v>
      </c>
      <c r="H385">
        <v>17067.23</v>
      </c>
      <c r="I385">
        <v>0.2</v>
      </c>
      <c r="J385">
        <v>27307.57</v>
      </c>
      <c r="K385">
        <v>2458.33</v>
      </c>
      <c r="L385">
        <v>4.5</v>
      </c>
      <c r="M385" s="53">
        <v>45645</v>
      </c>
      <c r="N385" t="s">
        <v>30</v>
      </c>
      <c r="O385" t="s">
        <v>44</v>
      </c>
      <c r="P385" s="54">
        <v>0.0900237553176647</v>
      </c>
    </row>
    <row r="386" spans="1:16">
      <c r="A386" t="s">
        <v>1175</v>
      </c>
      <c r="B386" t="s">
        <v>1176</v>
      </c>
      <c r="C386" t="s">
        <v>1177</v>
      </c>
      <c r="D386" t="s">
        <v>40</v>
      </c>
      <c r="E386" t="s">
        <v>41</v>
      </c>
      <c r="F386" t="s">
        <v>42</v>
      </c>
      <c r="G386">
        <v>2</v>
      </c>
      <c r="H386">
        <v>6239.18</v>
      </c>
      <c r="I386">
        <v>0</v>
      </c>
      <c r="J386">
        <v>12478.36</v>
      </c>
      <c r="K386">
        <v>2336.29</v>
      </c>
      <c r="L386">
        <v>2</v>
      </c>
      <c r="M386" s="53">
        <v>45560</v>
      </c>
      <c r="N386" t="s">
        <v>56</v>
      </c>
      <c r="O386" t="s">
        <v>73</v>
      </c>
      <c r="P386" s="54">
        <v>0.187227327950147</v>
      </c>
    </row>
    <row r="387" spans="1:16">
      <c r="A387" t="s">
        <v>1178</v>
      </c>
      <c r="B387" t="s">
        <v>1179</v>
      </c>
      <c r="C387" t="s">
        <v>1180</v>
      </c>
      <c r="D387" t="s">
        <v>53</v>
      </c>
      <c r="E387" t="s">
        <v>95</v>
      </c>
      <c r="F387" t="s">
        <v>524</v>
      </c>
      <c r="G387">
        <v>3</v>
      </c>
      <c r="H387">
        <v>11515.43</v>
      </c>
      <c r="I387">
        <v>0.05</v>
      </c>
      <c r="J387">
        <v>32818.98</v>
      </c>
      <c r="K387">
        <v>3753.49</v>
      </c>
      <c r="L387">
        <v>3.4</v>
      </c>
      <c r="M387" s="53">
        <v>45625</v>
      </c>
      <c r="N387" t="s">
        <v>30</v>
      </c>
      <c r="O387" t="s">
        <v>23</v>
      </c>
      <c r="P387" s="54">
        <v>0.114369489850081</v>
      </c>
    </row>
    <row r="388" spans="1:16">
      <c r="A388" t="s">
        <v>1181</v>
      </c>
      <c r="B388" t="s">
        <v>1182</v>
      </c>
      <c r="C388" t="s">
        <v>1183</v>
      </c>
      <c r="D388" t="s">
        <v>53</v>
      </c>
      <c r="E388" t="s">
        <v>95</v>
      </c>
      <c r="F388" t="s">
        <v>524</v>
      </c>
      <c r="G388">
        <v>3</v>
      </c>
      <c r="H388">
        <v>8992.59</v>
      </c>
      <c r="I388">
        <v>0.15</v>
      </c>
      <c r="J388">
        <v>22931.1</v>
      </c>
      <c r="K388">
        <v>5203.21</v>
      </c>
      <c r="L388">
        <v>1.1</v>
      </c>
      <c r="M388" s="53">
        <v>44993</v>
      </c>
      <c r="N388" t="s">
        <v>43</v>
      </c>
      <c r="O388" t="s">
        <v>57</v>
      </c>
      <c r="P388" s="54">
        <v>0.226906253952056</v>
      </c>
    </row>
    <row r="389" spans="1:16">
      <c r="A389" t="s">
        <v>1184</v>
      </c>
      <c r="B389" t="s">
        <v>1185</v>
      </c>
      <c r="C389" t="s">
        <v>1186</v>
      </c>
      <c r="D389" t="s">
        <v>40</v>
      </c>
      <c r="E389" t="s">
        <v>262</v>
      </c>
      <c r="F389" t="s">
        <v>773</v>
      </c>
      <c r="G389">
        <v>4</v>
      </c>
      <c r="H389">
        <v>16507.66</v>
      </c>
      <c r="I389">
        <v>0</v>
      </c>
      <c r="J389">
        <v>66030.64</v>
      </c>
      <c r="K389">
        <v>14148.71</v>
      </c>
      <c r="L389">
        <v>4</v>
      </c>
      <c r="M389" s="53">
        <v>45093</v>
      </c>
      <c r="N389" t="s">
        <v>56</v>
      </c>
      <c r="O389" t="s">
        <v>57</v>
      </c>
      <c r="P389" s="54">
        <v>0.214274918431807</v>
      </c>
    </row>
    <row r="390" spans="1:16">
      <c r="A390" t="s">
        <v>1187</v>
      </c>
      <c r="B390" t="s">
        <v>1188</v>
      </c>
      <c r="C390" t="s">
        <v>1189</v>
      </c>
      <c r="D390" t="s">
        <v>53</v>
      </c>
      <c r="E390" t="s">
        <v>100</v>
      </c>
      <c r="F390" t="s">
        <v>101</v>
      </c>
      <c r="G390">
        <v>4</v>
      </c>
      <c r="H390">
        <v>10924.88</v>
      </c>
      <c r="I390">
        <v>0.1</v>
      </c>
      <c r="J390">
        <v>39329.57</v>
      </c>
      <c r="K390">
        <v>6642.37</v>
      </c>
      <c r="L390">
        <v>1.4</v>
      </c>
      <c r="M390" s="53">
        <v>45381</v>
      </c>
      <c r="N390" t="s">
        <v>43</v>
      </c>
      <c r="O390" t="s">
        <v>57</v>
      </c>
      <c r="P390" s="54">
        <v>0.168889972608396</v>
      </c>
    </row>
    <row r="391" spans="1:16">
      <c r="A391" t="s">
        <v>1190</v>
      </c>
      <c r="B391" t="s">
        <v>1191</v>
      </c>
      <c r="C391" t="s">
        <v>929</v>
      </c>
      <c r="D391" t="s">
        <v>53</v>
      </c>
      <c r="E391" t="s">
        <v>95</v>
      </c>
      <c r="F391" t="s">
        <v>524</v>
      </c>
      <c r="G391">
        <v>4</v>
      </c>
      <c r="H391">
        <v>14520.89</v>
      </c>
      <c r="I391">
        <v>0.1</v>
      </c>
      <c r="J391">
        <v>52275.2</v>
      </c>
      <c r="K391">
        <v>5335.38</v>
      </c>
      <c r="L391">
        <v>1.6</v>
      </c>
      <c r="M391" s="53">
        <v>45571</v>
      </c>
      <c r="N391" t="s">
        <v>22</v>
      </c>
      <c r="O391" t="s">
        <v>57</v>
      </c>
      <c r="P391" s="54">
        <v>0.102063311092067</v>
      </c>
    </row>
    <row r="392" spans="1:16">
      <c r="A392" t="s">
        <v>1192</v>
      </c>
      <c r="B392" t="s">
        <v>657</v>
      </c>
      <c r="C392" t="s">
        <v>1193</v>
      </c>
      <c r="D392" t="s">
        <v>19</v>
      </c>
      <c r="E392" t="s">
        <v>129</v>
      </c>
      <c r="F392" t="s">
        <v>302</v>
      </c>
      <c r="G392">
        <v>2</v>
      </c>
      <c r="H392">
        <v>2377.03</v>
      </c>
      <c r="I392">
        <v>0.1</v>
      </c>
      <c r="J392">
        <v>4278.65</v>
      </c>
      <c r="K392">
        <v>338.59</v>
      </c>
      <c r="L392">
        <v>1.1</v>
      </c>
      <c r="M392" s="53">
        <v>44988</v>
      </c>
      <c r="N392" t="s">
        <v>56</v>
      </c>
      <c r="O392" t="s">
        <v>31</v>
      </c>
      <c r="P392" s="54">
        <v>0.0791347738188447</v>
      </c>
    </row>
    <row r="393" spans="1:16">
      <c r="A393" t="s">
        <v>1194</v>
      </c>
      <c r="B393" t="s">
        <v>663</v>
      </c>
      <c r="C393" t="s">
        <v>1195</v>
      </c>
      <c r="D393" t="s">
        <v>27</v>
      </c>
      <c r="E393" t="s">
        <v>117</v>
      </c>
      <c r="F393" t="s">
        <v>225</v>
      </c>
      <c r="G393">
        <v>3</v>
      </c>
      <c r="H393">
        <v>7809.12</v>
      </c>
      <c r="I393">
        <v>0</v>
      </c>
      <c r="J393">
        <v>23427.36</v>
      </c>
      <c r="K393">
        <v>1847.17</v>
      </c>
      <c r="L393">
        <v>1.1</v>
      </c>
      <c r="M393" s="53">
        <v>45038</v>
      </c>
      <c r="N393" t="s">
        <v>30</v>
      </c>
      <c r="O393" t="s">
        <v>57</v>
      </c>
      <c r="P393" s="54">
        <v>0.0788466989024798</v>
      </c>
    </row>
    <row r="394" spans="1:16">
      <c r="A394" t="s">
        <v>1196</v>
      </c>
      <c r="B394" t="s">
        <v>340</v>
      </c>
      <c r="C394" t="s">
        <v>1197</v>
      </c>
      <c r="D394" t="s">
        <v>19</v>
      </c>
      <c r="E394" t="s">
        <v>129</v>
      </c>
      <c r="F394" t="s">
        <v>320</v>
      </c>
      <c r="G394">
        <v>1</v>
      </c>
      <c r="H394">
        <v>6914.71</v>
      </c>
      <c r="I394">
        <v>0</v>
      </c>
      <c r="J394">
        <v>6914.71</v>
      </c>
      <c r="K394">
        <v>391.66</v>
      </c>
      <c r="L394">
        <v>2.1</v>
      </c>
      <c r="M394" s="53">
        <v>45289</v>
      </c>
      <c r="N394" t="s">
        <v>22</v>
      </c>
      <c r="O394" t="s">
        <v>31</v>
      </c>
      <c r="P394" s="54">
        <v>0.0566415655898801</v>
      </c>
    </row>
    <row r="395" spans="1:16">
      <c r="A395" t="s">
        <v>1198</v>
      </c>
      <c r="B395" t="s">
        <v>1199</v>
      </c>
      <c r="C395" t="s">
        <v>1200</v>
      </c>
      <c r="D395" t="s">
        <v>27</v>
      </c>
      <c r="E395" t="s">
        <v>28</v>
      </c>
      <c r="F395" t="s">
        <v>192</v>
      </c>
      <c r="G395">
        <v>2</v>
      </c>
      <c r="H395">
        <v>3951.81</v>
      </c>
      <c r="I395">
        <v>0.05</v>
      </c>
      <c r="J395">
        <v>7508.44</v>
      </c>
      <c r="K395">
        <v>1149.71</v>
      </c>
      <c r="L395">
        <v>3.2</v>
      </c>
      <c r="M395" s="53">
        <v>45409</v>
      </c>
      <c r="N395" t="s">
        <v>56</v>
      </c>
      <c r="O395" t="s">
        <v>31</v>
      </c>
      <c r="P395" s="54">
        <v>0.153122352978781</v>
      </c>
    </row>
    <row r="396" spans="1:16">
      <c r="A396" t="s">
        <v>1201</v>
      </c>
      <c r="B396" t="s">
        <v>1202</v>
      </c>
      <c r="C396" t="s">
        <v>1203</v>
      </c>
      <c r="D396" t="s">
        <v>27</v>
      </c>
      <c r="E396" t="s">
        <v>117</v>
      </c>
      <c r="F396" t="s">
        <v>505</v>
      </c>
      <c r="G396">
        <v>4</v>
      </c>
      <c r="H396">
        <v>19558.05</v>
      </c>
      <c r="I396">
        <v>0.1</v>
      </c>
      <c r="J396">
        <v>70408.98</v>
      </c>
      <c r="K396">
        <v>12979.95</v>
      </c>
      <c r="L396">
        <v>2.3</v>
      </c>
      <c r="M396" s="53">
        <v>45186</v>
      </c>
      <c r="N396" t="s">
        <v>56</v>
      </c>
      <c r="O396" t="s">
        <v>31</v>
      </c>
      <c r="P396" s="54">
        <v>0.184350774574493</v>
      </c>
    </row>
    <row r="397" spans="1:16">
      <c r="A397" t="s">
        <v>1204</v>
      </c>
      <c r="B397" t="s">
        <v>1205</v>
      </c>
      <c r="C397" t="s">
        <v>1206</v>
      </c>
      <c r="D397" t="s">
        <v>19</v>
      </c>
      <c r="E397" t="s">
        <v>35</v>
      </c>
      <c r="F397" t="s">
        <v>36</v>
      </c>
      <c r="G397">
        <v>1</v>
      </c>
      <c r="H397">
        <v>6852.43</v>
      </c>
      <c r="I397">
        <v>0.1</v>
      </c>
      <c r="J397">
        <v>6167.19</v>
      </c>
      <c r="K397">
        <v>606.2</v>
      </c>
      <c r="L397">
        <v>2</v>
      </c>
      <c r="M397" s="53">
        <v>44936</v>
      </c>
      <c r="N397" t="s">
        <v>43</v>
      </c>
      <c r="O397" t="s">
        <v>23</v>
      </c>
      <c r="P397" s="54">
        <v>0.0982943609650424</v>
      </c>
    </row>
    <row r="398" spans="1:16">
      <c r="A398" t="s">
        <v>1207</v>
      </c>
      <c r="B398" t="s">
        <v>1208</v>
      </c>
      <c r="C398" t="s">
        <v>1209</v>
      </c>
      <c r="D398" t="s">
        <v>27</v>
      </c>
      <c r="E398" t="s">
        <v>233</v>
      </c>
      <c r="F398" t="s">
        <v>234</v>
      </c>
      <c r="G398">
        <v>1</v>
      </c>
      <c r="H398">
        <v>5429.57</v>
      </c>
      <c r="I398">
        <v>0.2</v>
      </c>
      <c r="J398">
        <v>4343.66</v>
      </c>
      <c r="K398">
        <v>326.63</v>
      </c>
      <c r="L398">
        <v>2.9</v>
      </c>
      <c r="M398" s="53">
        <v>44967</v>
      </c>
      <c r="N398" t="s">
        <v>43</v>
      </c>
      <c r="O398" t="s">
        <v>31</v>
      </c>
      <c r="P398" s="54">
        <v>0.0751969537210555</v>
      </c>
    </row>
    <row r="399" spans="1:16">
      <c r="A399" t="s">
        <v>1210</v>
      </c>
      <c r="B399" t="s">
        <v>1211</v>
      </c>
      <c r="C399" t="s">
        <v>1212</v>
      </c>
      <c r="D399" t="s">
        <v>27</v>
      </c>
      <c r="E399" t="s">
        <v>48</v>
      </c>
      <c r="F399" t="s">
        <v>77</v>
      </c>
      <c r="G399">
        <v>3</v>
      </c>
      <c r="H399">
        <v>10737.03</v>
      </c>
      <c r="I399">
        <v>0.2</v>
      </c>
      <c r="J399">
        <v>25768.87</v>
      </c>
      <c r="K399">
        <v>3746.73</v>
      </c>
      <c r="L399">
        <v>2.4</v>
      </c>
      <c r="M399" s="53">
        <v>45353</v>
      </c>
      <c r="N399" t="s">
        <v>56</v>
      </c>
      <c r="O399" t="s">
        <v>31</v>
      </c>
      <c r="P399" s="54">
        <v>0.145397528102707</v>
      </c>
    </row>
    <row r="400" spans="1:16">
      <c r="A400" t="s">
        <v>1213</v>
      </c>
      <c r="B400" t="s">
        <v>1214</v>
      </c>
      <c r="C400" t="s">
        <v>1215</v>
      </c>
      <c r="D400" t="s">
        <v>27</v>
      </c>
      <c r="E400" t="s">
        <v>28</v>
      </c>
      <c r="F400" t="s">
        <v>192</v>
      </c>
      <c r="G400">
        <v>5</v>
      </c>
      <c r="H400">
        <v>6187.68</v>
      </c>
      <c r="I400">
        <v>0.1</v>
      </c>
      <c r="J400">
        <v>27844.56</v>
      </c>
      <c r="K400">
        <v>1551.06</v>
      </c>
      <c r="L400">
        <v>1.6</v>
      </c>
      <c r="M400" s="53">
        <v>45409</v>
      </c>
      <c r="N400" t="s">
        <v>22</v>
      </c>
      <c r="O400" t="s">
        <v>44</v>
      </c>
      <c r="P400" s="54">
        <v>0.0557042380989321</v>
      </c>
    </row>
    <row r="401" spans="1:16">
      <c r="A401" t="s">
        <v>1216</v>
      </c>
      <c r="B401" t="s">
        <v>1217</v>
      </c>
      <c r="C401" t="s">
        <v>1218</v>
      </c>
      <c r="D401" t="s">
        <v>53</v>
      </c>
      <c r="E401" t="s">
        <v>100</v>
      </c>
      <c r="F401" t="s">
        <v>271</v>
      </c>
      <c r="G401">
        <v>4</v>
      </c>
      <c r="H401">
        <v>10590.02</v>
      </c>
      <c r="I401">
        <v>0.05</v>
      </c>
      <c r="J401">
        <v>40242.08</v>
      </c>
      <c r="K401">
        <v>7117.83</v>
      </c>
      <c r="L401">
        <v>1.6</v>
      </c>
      <c r="M401" s="53">
        <v>45581</v>
      </c>
      <c r="N401" t="s">
        <v>30</v>
      </c>
      <c r="O401" t="s">
        <v>31</v>
      </c>
      <c r="P401" s="54">
        <v>0.176875300680283</v>
      </c>
    </row>
    <row r="402" spans="1:16">
      <c r="A402" t="s">
        <v>1219</v>
      </c>
      <c r="B402" t="s">
        <v>1185</v>
      </c>
      <c r="C402" t="s">
        <v>1220</v>
      </c>
      <c r="D402" t="s">
        <v>53</v>
      </c>
      <c r="E402" t="s">
        <v>95</v>
      </c>
      <c r="F402" t="s">
        <v>524</v>
      </c>
      <c r="G402">
        <v>2</v>
      </c>
      <c r="H402">
        <v>13652.1</v>
      </c>
      <c r="I402">
        <v>0.2</v>
      </c>
      <c r="J402">
        <v>21843.36</v>
      </c>
      <c r="K402">
        <v>3975.22</v>
      </c>
      <c r="L402">
        <v>5</v>
      </c>
      <c r="M402" s="53">
        <v>44952</v>
      </c>
      <c r="N402" t="s">
        <v>43</v>
      </c>
      <c r="O402" t="s">
        <v>23</v>
      </c>
      <c r="P402" s="54">
        <v>0.181987569677925</v>
      </c>
    </row>
    <row r="403" spans="1:16">
      <c r="A403" t="s">
        <v>1221</v>
      </c>
      <c r="B403" t="s">
        <v>1222</v>
      </c>
      <c r="C403" t="s">
        <v>1223</v>
      </c>
      <c r="D403" t="s">
        <v>40</v>
      </c>
      <c r="E403" t="s">
        <v>262</v>
      </c>
      <c r="F403" t="s">
        <v>263</v>
      </c>
      <c r="G403">
        <v>4</v>
      </c>
      <c r="H403">
        <v>5264.91</v>
      </c>
      <c r="I403">
        <v>0</v>
      </c>
      <c r="J403">
        <v>21059.64</v>
      </c>
      <c r="K403">
        <v>2265.93</v>
      </c>
      <c r="L403">
        <v>3.9</v>
      </c>
      <c r="M403" s="53">
        <v>45075</v>
      </c>
      <c r="N403" t="s">
        <v>56</v>
      </c>
      <c r="O403" t="s">
        <v>23</v>
      </c>
      <c r="P403" s="54">
        <v>0.107595856339425</v>
      </c>
    </row>
    <row r="404" spans="1:16">
      <c r="A404" t="s">
        <v>1224</v>
      </c>
      <c r="B404" t="s">
        <v>1225</v>
      </c>
      <c r="C404" t="s">
        <v>1226</v>
      </c>
      <c r="D404" t="s">
        <v>27</v>
      </c>
      <c r="E404" t="s">
        <v>28</v>
      </c>
      <c r="F404" t="s">
        <v>105</v>
      </c>
      <c r="G404">
        <v>2</v>
      </c>
      <c r="H404">
        <v>2237.48</v>
      </c>
      <c r="I404">
        <v>0.15</v>
      </c>
      <c r="J404">
        <v>3803.72</v>
      </c>
      <c r="K404">
        <v>708.87</v>
      </c>
      <c r="L404">
        <v>4.8</v>
      </c>
      <c r="M404" s="53">
        <v>45482</v>
      </c>
      <c r="N404" t="s">
        <v>30</v>
      </c>
      <c r="O404" t="s">
        <v>44</v>
      </c>
      <c r="P404" s="54">
        <v>0.186362297960944</v>
      </c>
    </row>
    <row r="405" spans="1:16">
      <c r="A405" t="s">
        <v>1227</v>
      </c>
      <c r="B405" t="s">
        <v>1228</v>
      </c>
      <c r="C405" t="s">
        <v>1229</v>
      </c>
      <c r="D405" t="s">
        <v>19</v>
      </c>
      <c r="E405" t="s">
        <v>129</v>
      </c>
      <c r="F405" t="s">
        <v>167</v>
      </c>
      <c r="G405">
        <v>3</v>
      </c>
      <c r="H405">
        <v>5684.53</v>
      </c>
      <c r="I405">
        <v>0.05</v>
      </c>
      <c r="J405">
        <v>16200.91</v>
      </c>
      <c r="K405">
        <v>3712.45</v>
      </c>
      <c r="L405">
        <v>1.8</v>
      </c>
      <c r="M405" s="53">
        <v>45013</v>
      </c>
      <c r="N405" t="s">
        <v>43</v>
      </c>
      <c r="O405" t="s">
        <v>31</v>
      </c>
      <c r="P405" s="54">
        <v>0.229150708200959</v>
      </c>
    </row>
    <row r="406" spans="1:16">
      <c r="A406" t="s">
        <v>1230</v>
      </c>
      <c r="B406" t="s">
        <v>1231</v>
      </c>
      <c r="C406" t="s">
        <v>1232</v>
      </c>
      <c r="D406" t="s">
        <v>27</v>
      </c>
      <c r="E406" t="s">
        <v>48</v>
      </c>
      <c r="F406" t="s">
        <v>64</v>
      </c>
      <c r="G406">
        <v>1</v>
      </c>
      <c r="H406">
        <v>12081.58</v>
      </c>
      <c r="I406">
        <v>0.1</v>
      </c>
      <c r="J406">
        <v>10873.42</v>
      </c>
      <c r="K406">
        <v>2604.31</v>
      </c>
      <c r="L406">
        <v>2.2</v>
      </c>
      <c r="M406" s="53">
        <v>44965</v>
      </c>
      <c r="N406" t="s">
        <v>43</v>
      </c>
      <c r="O406" t="s">
        <v>57</v>
      </c>
      <c r="P406" s="54">
        <v>0.239511579613406</v>
      </c>
    </row>
    <row r="407" spans="1:16">
      <c r="A407" t="s">
        <v>1233</v>
      </c>
      <c r="B407" t="s">
        <v>1234</v>
      </c>
      <c r="C407" t="s">
        <v>1235</v>
      </c>
      <c r="D407" t="s">
        <v>53</v>
      </c>
      <c r="E407" t="s">
        <v>54</v>
      </c>
      <c r="F407" t="s">
        <v>55</v>
      </c>
      <c r="G407">
        <v>4</v>
      </c>
      <c r="H407">
        <v>202.88</v>
      </c>
      <c r="I407">
        <v>0.15</v>
      </c>
      <c r="J407">
        <v>689.79</v>
      </c>
      <c r="K407">
        <v>62.04</v>
      </c>
      <c r="L407">
        <v>4.4</v>
      </c>
      <c r="M407" s="53">
        <v>45036</v>
      </c>
      <c r="N407" t="s">
        <v>56</v>
      </c>
      <c r="O407" t="s">
        <v>44</v>
      </c>
      <c r="P407" s="54">
        <v>0.0899404166485452</v>
      </c>
    </row>
    <row r="408" spans="1:16">
      <c r="A408" t="s">
        <v>1236</v>
      </c>
      <c r="B408" t="s">
        <v>294</v>
      </c>
      <c r="C408" t="s">
        <v>1237</v>
      </c>
      <c r="D408" t="s">
        <v>27</v>
      </c>
      <c r="E408" t="s">
        <v>117</v>
      </c>
      <c r="F408" t="s">
        <v>118</v>
      </c>
      <c r="G408">
        <v>4</v>
      </c>
      <c r="H408">
        <v>7038.76</v>
      </c>
      <c r="I408">
        <v>0.1</v>
      </c>
      <c r="J408">
        <v>25339.54</v>
      </c>
      <c r="K408">
        <v>4662.87</v>
      </c>
      <c r="L408">
        <v>1.7</v>
      </c>
      <c r="M408" s="53">
        <v>45037</v>
      </c>
      <c r="N408" t="s">
        <v>22</v>
      </c>
      <c r="O408" t="s">
        <v>57</v>
      </c>
      <c r="P408" s="54">
        <v>0.184015574079087</v>
      </c>
    </row>
    <row r="409" spans="1:16">
      <c r="A409" t="s">
        <v>1238</v>
      </c>
      <c r="B409" t="s">
        <v>1239</v>
      </c>
      <c r="C409" t="s">
        <v>1240</v>
      </c>
      <c r="D409" t="s">
        <v>19</v>
      </c>
      <c r="E409" t="s">
        <v>129</v>
      </c>
      <c r="F409" t="s">
        <v>302</v>
      </c>
      <c r="G409">
        <v>1</v>
      </c>
      <c r="H409">
        <v>17726.2</v>
      </c>
      <c r="I409">
        <v>0.2</v>
      </c>
      <c r="J409">
        <v>14180.96</v>
      </c>
      <c r="K409">
        <v>3531.86</v>
      </c>
      <c r="L409">
        <v>3.4</v>
      </c>
      <c r="M409" s="53">
        <v>45493</v>
      </c>
      <c r="N409" t="s">
        <v>56</v>
      </c>
      <c r="O409" t="s">
        <v>44</v>
      </c>
      <c r="P409" s="54">
        <v>0.249056481366565</v>
      </c>
    </row>
    <row r="410" spans="1:16">
      <c r="A410" t="s">
        <v>1241</v>
      </c>
      <c r="B410" t="s">
        <v>1176</v>
      </c>
      <c r="C410" t="s">
        <v>1242</v>
      </c>
      <c r="D410" t="s">
        <v>19</v>
      </c>
      <c r="E410" t="s">
        <v>20</v>
      </c>
      <c r="F410" t="s">
        <v>134</v>
      </c>
      <c r="G410">
        <v>4</v>
      </c>
      <c r="H410">
        <v>734.49</v>
      </c>
      <c r="I410">
        <v>0.2</v>
      </c>
      <c r="J410">
        <v>2350.37</v>
      </c>
      <c r="K410">
        <v>318.13</v>
      </c>
      <c r="L410">
        <v>5</v>
      </c>
      <c r="M410" s="53">
        <v>45418</v>
      </c>
      <c r="N410" t="s">
        <v>43</v>
      </c>
      <c r="O410" t="s">
        <v>23</v>
      </c>
      <c r="P410" s="54">
        <v>0.135353157162489</v>
      </c>
    </row>
    <row r="411" spans="1:16">
      <c r="A411" t="s">
        <v>1243</v>
      </c>
      <c r="B411" t="s">
        <v>1244</v>
      </c>
      <c r="C411" t="s">
        <v>1072</v>
      </c>
      <c r="D411" t="s">
        <v>19</v>
      </c>
      <c r="E411" t="s">
        <v>129</v>
      </c>
      <c r="F411" t="s">
        <v>130</v>
      </c>
      <c r="G411">
        <v>2</v>
      </c>
      <c r="H411">
        <v>1397.22</v>
      </c>
      <c r="I411">
        <v>0.05</v>
      </c>
      <c r="J411">
        <v>2654.72</v>
      </c>
      <c r="K411">
        <v>254.66</v>
      </c>
      <c r="L411">
        <v>4.6</v>
      </c>
      <c r="M411" s="53">
        <v>45132</v>
      </c>
      <c r="N411" t="s">
        <v>43</v>
      </c>
      <c r="O411" t="s">
        <v>57</v>
      </c>
      <c r="P411" s="54">
        <v>0.0959272540983607</v>
      </c>
    </row>
    <row r="412" spans="1:16">
      <c r="A412" t="s">
        <v>1245</v>
      </c>
      <c r="B412" t="s">
        <v>906</v>
      </c>
      <c r="C412" t="s">
        <v>1246</v>
      </c>
      <c r="D412" t="s">
        <v>19</v>
      </c>
      <c r="E412" t="s">
        <v>129</v>
      </c>
      <c r="F412" t="s">
        <v>130</v>
      </c>
      <c r="G412">
        <v>2</v>
      </c>
      <c r="H412">
        <v>5659.25</v>
      </c>
      <c r="I412">
        <v>0.1</v>
      </c>
      <c r="J412">
        <v>10186.65</v>
      </c>
      <c r="K412">
        <v>2334.64</v>
      </c>
      <c r="L412">
        <v>2.9</v>
      </c>
      <c r="M412" s="53">
        <v>45443</v>
      </c>
      <c r="N412" t="s">
        <v>30</v>
      </c>
      <c r="O412" t="s">
        <v>23</v>
      </c>
      <c r="P412" s="54">
        <v>0.229186238851831</v>
      </c>
    </row>
    <row r="413" spans="1:16">
      <c r="A413" t="s">
        <v>1247</v>
      </c>
      <c r="B413" t="s">
        <v>1248</v>
      </c>
      <c r="C413" t="s">
        <v>1249</v>
      </c>
      <c r="D413" t="s">
        <v>27</v>
      </c>
      <c r="E413" t="s">
        <v>117</v>
      </c>
      <c r="F413" t="s">
        <v>505</v>
      </c>
      <c r="G413">
        <v>4</v>
      </c>
      <c r="H413">
        <v>4390.1</v>
      </c>
      <c r="I413">
        <v>0</v>
      </c>
      <c r="J413">
        <v>17560.4</v>
      </c>
      <c r="K413">
        <v>4067.71</v>
      </c>
      <c r="L413">
        <v>2.7</v>
      </c>
      <c r="M413" s="53">
        <v>44960</v>
      </c>
      <c r="N413" t="s">
        <v>43</v>
      </c>
      <c r="O413" t="s">
        <v>44</v>
      </c>
      <c r="P413" s="54">
        <v>0.231641078790916</v>
      </c>
    </row>
    <row r="414" spans="1:16">
      <c r="A414" t="s">
        <v>1250</v>
      </c>
      <c r="B414" t="s">
        <v>1251</v>
      </c>
      <c r="C414" t="s">
        <v>1252</v>
      </c>
      <c r="D414" t="s">
        <v>40</v>
      </c>
      <c r="E414" t="s">
        <v>81</v>
      </c>
      <c r="F414" t="s">
        <v>241</v>
      </c>
      <c r="G414">
        <v>1</v>
      </c>
      <c r="H414">
        <v>6617.12</v>
      </c>
      <c r="I414">
        <v>0.05</v>
      </c>
      <c r="J414">
        <v>6286.26</v>
      </c>
      <c r="K414">
        <v>551.56</v>
      </c>
      <c r="L414">
        <v>1.2</v>
      </c>
      <c r="M414" s="53">
        <v>45391</v>
      </c>
      <c r="N414" t="s">
        <v>30</v>
      </c>
      <c r="O414" t="s">
        <v>57</v>
      </c>
      <c r="P414" s="54">
        <v>0.0877405643419139</v>
      </c>
    </row>
    <row r="415" spans="1:16">
      <c r="A415" t="s">
        <v>1253</v>
      </c>
      <c r="B415" t="s">
        <v>1254</v>
      </c>
      <c r="C415" t="s">
        <v>1255</v>
      </c>
      <c r="D415" t="s">
        <v>19</v>
      </c>
      <c r="E415" t="s">
        <v>86</v>
      </c>
      <c r="F415" t="s">
        <v>113</v>
      </c>
      <c r="G415">
        <v>5</v>
      </c>
      <c r="H415">
        <v>13964.44</v>
      </c>
      <c r="I415">
        <v>0.05</v>
      </c>
      <c r="J415">
        <v>66331.09</v>
      </c>
      <c r="K415">
        <v>3317.12</v>
      </c>
      <c r="L415">
        <v>3.5</v>
      </c>
      <c r="M415" s="53">
        <v>45448</v>
      </c>
      <c r="N415" t="s">
        <v>22</v>
      </c>
      <c r="O415" t="s">
        <v>44</v>
      </c>
      <c r="P415" s="54">
        <v>0.0500085254139499</v>
      </c>
    </row>
    <row r="416" spans="1:16">
      <c r="A416" t="s">
        <v>1256</v>
      </c>
      <c r="B416" t="s">
        <v>1257</v>
      </c>
      <c r="C416" t="s">
        <v>1258</v>
      </c>
      <c r="D416" t="s">
        <v>19</v>
      </c>
      <c r="E416" t="s">
        <v>35</v>
      </c>
      <c r="F416" t="s">
        <v>245</v>
      </c>
      <c r="G416">
        <v>3</v>
      </c>
      <c r="H416">
        <v>12483.2</v>
      </c>
      <c r="I416">
        <v>0.1</v>
      </c>
      <c r="J416">
        <v>33704.64</v>
      </c>
      <c r="K416">
        <v>2980.3</v>
      </c>
      <c r="L416">
        <v>1.8</v>
      </c>
      <c r="M416" s="53">
        <v>44963</v>
      </c>
      <c r="N416" t="s">
        <v>43</v>
      </c>
      <c r="O416" t="s">
        <v>31</v>
      </c>
      <c r="P416" s="54">
        <v>0.0884240270775775</v>
      </c>
    </row>
    <row r="417" spans="1:16">
      <c r="A417" t="s">
        <v>1259</v>
      </c>
      <c r="B417" t="s">
        <v>1260</v>
      </c>
      <c r="C417" t="s">
        <v>1261</v>
      </c>
      <c r="D417" t="s">
        <v>27</v>
      </c>
      <c r="E417" t="s">
        <v>117</v>
      </c>
      <c r="F417" t="s">
        <v>505</v>
      </c>
      <c r="G417">
        <v>5</v>
      </c>
      <c r="H417">
        <v>19245.47</v>
      </c>
      <c r="I417">
        <v>0</v>
      </c>
      <c r="J417">
        <v>96227.35</v>
      </c>
      <c r="K417">
        <v>12818.71</v>
      </c>
      <c r="L417">
        <v>1.8</v>
      </c>
      <c r="M417" s="53">
        <v>45328</v>
      </c>
      <c r="N417" t="s">
        <v>30</v>
      </c>
      <c r="O417" t="s">
        <v>23</v>
      </c>
      <c r="P417" s="54">
        <v>0.133212750844744</v>
      </c>
    </row>
    <row r="418" spans="1:16">
      <c r="A418" t="s">
        <v>1262</v>
      </c>
      <c r="B418" t="s">
        <v>1263</v>
      </c>
      <c r="C418" t="s">
        <v>1264</v>
      </c>
      <c r="D418" t="s">
        <v>40</v>
      </c>
      <c r="E418" t="s">
        <v>41</v>
      </c>
      <c r="F418" t="s">
        <v>154</v>
      </c>
      <c r="G418">
        <v>2</v>
      </c>
      <c r="H418">
        <v>9767.99</v>
      </c>
      <c r="I418">
        <v>0.1</v>
      </c>
      <c r="J418">
        <v>17582.38</v>
      </c>
      <c r="K418">
        <v>1676.6</v>
      </c>
      <c r="L418">
        <v>4</v>
      </c>
      <c r="M418" s="53">
        <v>45562</v>
      </c>
      <c r="N418" t="s">
        <v>43</v>
      </c>
      <c r="O418" t="s">
        <v>23</v>
      </c>
      <c r="P418" s="54">
        <v>0.0953568288252216</v>
      </c>
    </row>
    <row r="419" spans="1:16">
      <c r="A419" t="s">
        <v>1265</v>
      </c>
      <c r="B419" t="s">
        <v>378</v>
      </c>
      <c r="C419" t="s">
        <v>1266</v>
      </c>
      <c r="D419" t="s">
        <v>27</v>
      </c>
      <c r="E419" t="s">
        <v>28</v>
      </c>
      <c r="F419" t="s">
        <v>225</v>
      </c>
      <c r="G419">
        <v>1</v>
      </c>
      <c r="H419">
        <v>14652.37</v>
      </c>
      <c r="I419">
        <v>0.15</v>
      </c>
      <c r="J419">
        <v>12454.51</v>
      </c>
      <c r="K419">
        <v>1889.77</v>
      </c>
      <c r="L419">
        <v>2.2</v>
      </c>
      <c r="M419" s="53">
        <v>45081</v>
      </c>
      <c r="N419" t="s">
        <v>43</v>
      </c>
      <c r="O419" t="s">
        <v>44</v>
      </c>
      <c r="P419" s="54">
        <v>0.151733789607138</v>
      </c>
    </row>
    <row r="420" spans="1:16">
      <c r="A420" t="s">
        <v>1267</v>
      </c>
      <c r="B420" t="s">
        <v>1268</v>
      </c>
      <c r="C420" t="s">
        <v>1269</v>
      </c>
      <c r="D420" t="s">
        <v>27</v>
      </c>
      <c r="E420" t="s">
        <v>28</v>
      </c>
      <c r="F420" t="s">
        <v>225</v>
      </c>
      <c r="G420">
        <v>1</v>
      </c>
      <c r="H420">
        <v>6229.96</v>
      </c>
      <c r="I420">
        <v>0.1</v>
      </c>
      <c r="J420">
        <v>5606.96</v>
      </c>
      <c r="K420">
        <v>1286.75</v>
      </c>
      <c r="L420">
        <v>1.6</v>
      </c>
      <c r="M420" s="53">
        <v>44988</v>
      </c>
      <c r="N420" t="s">
        <v>43</v>
      </c>
      <c r="O420" t="s">
        <v>73</v>
      </c>
      <c r="P420" s="54">
        <v>0.229491560489106</v>
      </c>
    </row>
    <row r="421" spans="1:16">
      <c r="A421" t="s">
        <v>1270</v>
      </c>
      <c r="B421" t="s">
        <v>1271</v>
      </c>
      <c r="C421" t="s">
        <v>1272</v>
      </c>
      <c r="D421" t="s">
        <v>53</v>
      </c>
      <c r="E421" t="s">
        <v>54</v>
      </c>
      <c r="F421" t="s">
        <v>109</v>
      </c>
      <c r="G421">
        <v>4</v>
      </c>
      <c r="H421">
        <v>16933.7</v>
      </c>
      <c r="I421">
        <v>0.1</v>
      </c>
      <c r="J421">
        <v>60961.32</v>
      </c>
      <c r="K421">
        <v>10585.3</v>
      </c>
      <c r="L421">
        <v>4.4</v>
      </c>
      <c r="M421" s="53">
        <v>45257</v>
      </c>
      <c r="N421" t="s">
        <v>22</v>
      </c>
      <c r="O421" t="s">
        <v>73</v>
      </c>
      <c r="P421" s="54">
        <v>0.173639612790537</v>
      </c>
    </row>
    <row r="422" spans="1:16">
      <c r="A422" t="s">
        <v>1273</v>
      </c>
      <c r="B422" t="s">
        <v>139</v>
      </c>
      <c r="C422" t="s">
        <v>1274</v>
      </c>
      <c r="D422" t="s">
        <v>27</v>
      </c>
      <c r="E422" t="s">
        <v>28</v>
      </c>
      <c r="F422" t="s">
        <v>105</v>
      </c>
      <c r="G422">
        <v>1</v>
      </c>
      <c r="H422">
        <v>14453.2</v>
      </c>
      <c r="I422">
        <v>0</v>
      </c>
      <c r="J422">
        <v>14453.2</v>
      </c>
      <c r="K422">
        <v>2259.93</v>
      </c>
      <c r="L422">
        <v>1.6</v>
      </c>
      <c r="M422" s="53">
        <v>45046</v>
      </c>
      <c r="N422" t="s">
        <v>30</v>
      </c>
      <c r="O422" t="s">
        <v>73</v>
      </c>
      <c r="P422" s="54">
        <v>0.156361912932776</v>
      </c>
    </row>
    <row r="423" spans="1:16">
      <c r="A423" t="s">
        <v>1275</v>
      </c>
      <c r="B423" t="s">
        <v>111</v>
      </c>
      <c r="C423" t="s">
        <v>1276</v>
      </c>
      <c r="D423" t="s">
        <v>27</v>
      </c>
      <c r="E423" t="s">
        <v>48</v>
      </c>
      <c r="F423" t="s">
        <v>49</v>
      </c>
      <c r="G423">
        <v>2</v>
      </c>
      <c r="H423">
        <v>6998.05</v>
      </c>
      <c r="I423">
        <v>0.2</v>
      </c>
      <c r="J423">
        <v>11196.88</v>
      </c>
      <c r="K423">
        <v>1117.49</v>
      </c>
      <c r="L423">
        <v>4.7</v>
      </c>
      <c r="M423" s="53">
        <v>45075</v>
      </c>
      <c r="N423" t="s">
        <v>43</v>
      </c>
      <c r="O423" t="s">
        <v>31</v>
      </c>
      <c r="P423" s="54">
        <v>0.0998036953151235</v>
      </c>
    </row>
    <row r="424" spans="1:16">
      <c r="A424" t="s">
        <v>1277</v>
      </c>
      <c r="B424" t="s">
        <v>1278</v>
      </c>
      <c r="C424" t="s">
        <v>1279</v>
      </c>
      <c r="D424" t="s">
        <v>40</v>
      </c>
      <c r="E424" t="s">
        <v>262</v>
      </c>
      <c r="F424" t="s">
        <v>773</v>
      </c>
      <c r="G424">
        <v>4</v>
      </c>
      <c r="H424">
        <v>9951.67</v>
      </c>
      <c r="I424">
        <v>0.15</v>
      </c>
      <c r="J424">
        <v>33835.68</v>
      </c>
      <c r="K424">
        <v>3598.82</v>
      </c>
      <c r="L424">
        <v>3.6</v>
      </c>
      <c r="M424" s="53">
        <v>45502</v>
      </c>
      <c r="N424" t="s">
        <v>43</v>
      </c>
      <c r="O424" t="s">
        <v>31</v>
      </c>
      <c r="P424" s="54">
        <v>0.106361686834726</v>
      </c>
    </row>
    <row r="425" spans="1:16">
      <c r="A425" t="s">
        <v>1280</v>
      </c>
      <c r="B425" t="s">
        <v>1281</v>
      </c>
      <c r="C425" t="s">
        <v>1282</v>
      </c>
      <c r="D425" t="s">
        <v>40</v>
      </c>
      <c r="E425" t="s">
        <v>81</v>
      </c>
      <c r="F425" t="s">
        <v>82</v>
      </c>
      <c r="G425">
        <v>4</v>
      </c>
      <c r="H425">
        <v>7915.96</v>
      </c>
      <c r="I425">
        <v>0.05</v>
      </c>
      <c r="J425">
        <v>30080.65</v>
      </c>
      <c r="K425">
        <v>6302.85</v>
      </c>
      <c r="L425">
        <v>2.1</v>
      </c>
      <c r="M425" s="53">
        <v>45097</v>
      </c>
      <c r="N425" t="s">
        <v>43</v>
      </c>
      <c r="O425" t="s">
        <v>57</v>
      </c>
      <c r="P425" s="54">
        <v>0.209531708922513</v>
      </c>
    </row>
    <row r="426" spans="1:16">
      <c r="A426" t="s">
        <v>1283</v>
      </c>
      <c r="B426" t="s">
        <v>1284</v>
      </c>
      <c r="C426" t="s">
        <v>1285</v>
      </c>
      <c r="D426" t="s">
        <v>27</v>
      </c>
      <c r="E426" t="s">
        <v>48</v>
      </c>
      <c r="F426" t="s">
        <v>77</v>
      </c>
      <c r="G426">
        <v>4</v>
      </c>
      <c r="H426">
        <v>1697.08</v>
      </c>
      <c r="I426">
        <v>0</v>
      </c>
      <c r="J426">
        <v>6788.32</v>
      </c>
      <c r="K426">
        <v>1570.88</v>
      </c>
      <c r="L426">
        <v>1.5</v>
      </c>
      <c r="M426" s="53">
        <v>45387</v>
      </c>
      <c r="N426" t="s">
        <v>56</v>
      </c>
      <c r="O426" t="s">
        <v>23</v>
      </c>
      <c r="P426" s="54">
        <v>0.231409244113418</v>
      </c>
    </row>
    <row r="427" spans="1:16">
      <c r="A427" t="s">
        <v>1286</v>
      </c>
      <c r="B427" t="s">
        <v>1287</v>
      </c>
      <c r="C427" t="s">
        <v>1288</v>
      </c>
      <c r="D427" t="s">
        <v>27</v>
      </c>
      <c r="E427" t="s">
        <v>117</v>
      </c>
      <c r="F427" t="s">
        <v>118</v>
      </c>
      <c r="G427">
        <v>4</v>
      </c>
      <c r="H427">
        <v>9278.77</v>
      </c>
      <c r="I427">
        <v>0.1</v>
      </c>
      <c r="J427">
        <v>33403.57</v>
      </c>
      <c r="K427">
        <v>6133.13</v>
      </c>
      <c r="L427">
        <v>3</v>
      </c>
      <c r="M427" s="53">
        <v>45561</v>
      </c>
      <c r="N427" t="s">
        <v>56</v>
      </c>
      <c r="O427" t="s">
        <v>31</v>
      </c>
      <c r="P427" s="54">
        <v>0.183607021644693</v>
      </c>
    </row>
    <row r="428" spans="1:16">
      <c r="A428" t="s">
        <v>1289</v>
      </c>
      <c r="B428" t="s">
        <v>1290</v>
      </c>
      <c r="C428" t="s">
        <v>1246</v>
      </c>
      <c r="D428" t="s">
        <v>19</v>
      </c>
      <c r="E428" t="s">
        <v>86</v>
      </c>
      <c r="F428" t="s">
        <v>113</v>
      </c>
      <c r="G428">
        <v>4</v>
      </c>
      <c r="H428">
        <v>6575.1</v>
      </c>
      <c r="I428">
        <v>0</v>
      </c>
      <c r="J428">
        <v>26300.4</v>
      </c>
      <c r="K428">
        <v>5779.82</v>
      </c>
      <c r="L428">
        <v>2.9</v>
      </c>
      <c r="M428" s="53">
        <v>45571</v>
      </c>
      <c r="N428" t="s">
        <v>56</v>
      </c>
      <c r="O428" t="s">
        <v>44</v>
      </c>
      <c r="P428" s="54">
        <v>0.219761676628492</v>
      </c>
    </row>
    <row r="429" spans="1:16">
      <c r="A429" t="s">
        <v>1291</v>
      </c>
      <c r="B429" t="s">
        <v>239</v>
      </c>
      <c r="C429" t="s">
        <v>1292</v>
      </c>
      <c r="D429" t="s">
        <v>27</v>
      </c>
      <c r="E429" t="s">
        <v>233</v>
      </c>
      <c r="F429" t="s">
        <v>362</v>
      </c>
      <c r="G429">
        <v>1</v>
      </c>
      <c r="H429">
        <v>3020.8</v>
      </c>
      <c r="I429">
        <v>0</v>
      </c>
      <c r="J429">
        <v>3020.8</v>
      </c>
      <c r="K429">
        <v>380.22</v>
      </c>
      <c r="L429">
        <v>3.4</v>
      </c>
      <c r="M429" s="53">
        <v>44958</v>
      </c>
      <c r="N429" t="s">
        <v>43</v>
      </c>
      <c r="O429" t="s">
        <v>44</v>
      </c>
      <c r="P429" s="54">
        <v>0.125867319915254</v>
      </c>
    </row>
    <row r="430" spans="1:16">
      <c r="A430" t="s">
        <v>1293</v>
      </c>
      <c r="B430" t="s">
        <v>1294</v>
      </c>
      <c r="C430" t="s">
        <v>1295</v>
      </c>
      <c r="D430" t="s">
        <v>53</v>
      </c>
      <c r="E430" t="s">
        <v>100</v>
      </c>
      <c r="F430" t="s">
        <v>229</v>
      </c>
      <c r="G430">
        <v>5</v>
      </c>
      <c r="H430">
        <v>11552.5</v>
      </c>
      <c r="I430">
        <v>0.2</v>
      </c>
      <c r="J430">
        <v>46210</v>
      </c>
      <c r="K430">
        <v>9250.88</v>
      </c>
      <c r="L430">
        <v>1.2</v>
      </c>
      <c r="M430" s="53">
        <v>45440</v>
      </c>
      <c r="N430" t="s">
        <v>43</v>
      </c>
      <c r="O430" t="s">
        <v>44</v>
      </c>
      <c r="P430" s="54">
        <v>0.200192166197793</v>
      </c>
    </row>
    <row r="431" spans="1:16">
      <c r="A431" t="s">
        <v>1296</v>
      </c>
      <c r="B431" t="s">
        <v>1297</v>
      </c>
      <c r="C431" t="s">
        <v>1298</v>
      </c>
      <c r="D431" t="s">
        <v>40</v>
      </c>
      <c r="E431" t="s">
        <v>174</v>
      </c>
      <c r="F431" t="s">
        <v>175</v>
      </c>
      <c r="G431">
        <v>1</v>
      </c>
      <c r="H431">
        <v>17502.95</v>
      </c>
      <c r="I431">
        <v>0.2</v>
      </c>
      <c r="J431">
        <v>14002.36</v>
      </c>
      <c r="K431">
        <v>1013.74</v>
      </c>
      <c r="L431">
        <v>2.1</v>
      </c>
      <c r="M431" s="53">
        <v>45060</v>
      </c>
      <c r="N431" t="s">
        <v>56</v>
      </c>
      <c r="O431" t="s">
        <v>44</v>
      </c>
      <c r="P431" s="54">
        <v>0.0723977958001365</v>
      </c>
    </row>
    <row r="432" spans="1:16">
      <c r="A432" t="s">
        <v>1299</v>
      </c>
      <c r="B432" t="s">
        <v>1300</v>
      </c>
      <c r="C432" t="s">
        <v>1301</v>
      </c>
      <c r="D432" t="s">
        <v>40</v>
      </c>
      <c r="E432" t="s">
        <v>174</v>
      </c>
      <c r="F432" t="s">
        <v>313</v>
      </c>
      <c r="G432">
        <v>4</v>
      </c>
      <c r="H432">
        <v>4756.56</v>
      </c>
      <c r="I432">
        <v>0</v>
      </c>
      <c r="J432">
        <v>19026.24</v>
      </c>
      <c r="K432">
        <v>2769.88</v>
      </c>
      <c r="L432">
        <v>3.2</v>
      </c>
      <c r="M432" s="53">
        <v>45254</v>
      </c>
      <c r="N432" t="s">
        <v>22</v>
      </c>
      <c r="O432" t="s">
        <v>73</v>
      </c>
      <c r="P432" s="54">
        <v>0.145582101350556</v>
      </c>
    </row>
    <row r="433" spans="1:16">
      <c r="A433" t="s">
        <v>1302</v>
      </c>
      <c r="B433" t="s">
        <v>1303</v>
      </c>
      <c r="C433" t="s">
        <v>1304</v>
      </c>
      <c r="D433" t="s">
        <v>40</v>
      </c>
      <c r="E433" t="s">
        <v>174</v>
      </c>
      <c r="F433" t="s">
        <v>199</v>
      </c>
      <c r="G433">
        <v>3</v>
      </c>
      <c r="H433">
        <v>8607.18</v>
      </c>
      <c r="I433">
        <v>0.15</v>
      </c>
      <c r="J433">
        <v>21948.31</v>
      </c>
      <c r="K433">
        <v>2361.86</v>
      </c>
      <c r="L433">
        <v>4.2</v>
      </c>
      <c r="M433" s="53">
        <v>45581</v>
      </c>
      <c r="N433" t="s">
        <v>43</v>
      </c>
      <c r="O433" t="s">
        <v>73</v>
      </c>
      <c r="P433" s="54">
        <v>0.107610107566368</v>
      </c>
    </row>
    <row r="434" spans="1:16">
      <c r="A434" t="s">
        <v>1305</v>
      </c>
      <c r="B434" t="s">
        <v>1306</v>
      </c>
      <c r="C434" t="s">
        <v>1307</v>
      </c>
      <c r="D434" t="s">
        <v>53</v>
      </c>
      <c r="E434" t="s">
        <v>54</v>
      </c>
      <c r="F434" t="s">
        <v>249</v>
      </c>
      <c r="G434">
        <v>1</v>
      </c>
      <c r="H434">
        <v>2733.19</v>
      </c>
      <c r="I434">
        <v>0.1</v>
      </c>
      <c r="J434">
        <v>2459.87</v>
      </c>
      <c r="K434">
        <v>187.77</v>
      </c>
      <c r="L434">
        <v>1.5</v>
      </c>
      <c r="M434" s="53">
        <v>45248</v>
      </c>
      <c r="N434" t="s">
        <v>43</v>
      </c>
      <c r="O434" t="s">
        <v>73</v>
      </c>
      <c r="P434" s="54">
        <v>0.0763333021663747</v>
      </c>
    </row>
    <row r="435" spans="1:16">
      <c r="A435" t="s">
        <v>1308</v>
      </c>
      <c r="B435" t="s">
        <v>1309</v>
      </c>
      <c r="C435" t="s">
        <v>1310</v>
      </c>
      <c r="D435" t="s">
        <v>53</v>
      </c>
      <c r="E435" t="s">
        <v>95</v>
      </c>
      <c r="F435" t="s">
        <v>524</v>
      </c>
      <c r="G435">
        <v>5</v>
      </c>
      <c r="H435">
        <v>12117.39</v>
      </c>
      <c r="I435">
        <v>0.15</v>
      </c>
      <c r="J435">
        <v>51498.91</v>
      </c>
      <c r="K435">
        <v>2758.91</v>
      </c>
      <c r="L435">
        <v>3.6</v>
      </c>
      <c r="M435" s="53">
        <v>45452</v>
      </c>
      <c r="N435" t="s">
        <v>43</v>
      </c>
      <c r="O435" t="s">
        <v>44</v>
      </c>
      <c r="P435" s="54">
        <v>0.0535722018194172</v>
      </c>
    </row>
    <row r="436" spans="1:16">
      <c r="A436" t="s">
        <v>1311</v>
      </c>
      <c r="B436" t="s">
        <v>1312</v>
      </c>
      <c r="C436" t="s">
        <v>367</v>
      </c>
      <c r="D436" t="s">
        <v>40</v>
      </c>
      <c r="E436" t="s">
        <v>262</v>
      </c>
      <c r="F436" t="s">
        <v>773</v>
      </c>
      <c r="G436">
        <v>1</v>
      </c>
      <c r="H436">
        <v>2111.87</v>
      </c>
      <c r="I436">
        <v>0.1</v>
      </c>
      <c r="J436">
        <v>1900.68</v>
      </c>
      <c r="K436">
        <v>377.48</v>
      </c>
      <c r="L436">
        <v>5</v>
      </c>
      <c r="M436" s="53">
        <v>45147</v>
      </c>
      <c r="N436" t="s">
        <v>56</v>
      </c>
      <c r="O436" t="s">
        <v>73</v>
      </c>
      <c r="P436" s="54">
        <v>0.198602605383336</v>
      </c>
    </row>
    <row r="437" spans="1:16">
      <c r="A437" t="s">
        <v>1313</v>
      </c>
      <c r="B437" t="s">
        <v>1314</v>
      </c>
      <c r="C437" t="s">
        <v>1315</v>
      </c>
      <c r="D437" t="s">
        <v>53</v>
      </c>
      <c r="E437" t="s">
        <v>100</v>
      </c>
      <c r="F437" t="s">
        <v>271</v>
      </c>
      <c r="G437">
        <v>4</v>
      </c>
      <c r="H437">
        <v>7255.87</v>
      </c>
      <c r="I437">
        <v>0.1</v>
      </c>
      <c r="J437">
        <v>26121.13</v>
      </c>
      <c r="K437">
        <v>3783.32</v>
      </c>
      <c r="L437">
        <v>3.8</v>
      </c>
      <c r="M437" s="53">
        <v>45017</v>
      </c>
      <c r="N437" t="s">
        <v>56</v>
      </c>
      <c r="O437" t="s">
        <v>57</v>
      </c>
      <c r="P437" s="54">
        <v>0.144837531913818</v>
      </c>
    </row>
    <row r="438" spans="1:16">
      <c r="A438" t="s">
        <v>1316</v>
      </c>
      <c r="B438" t="s">
        <v>1317</v>
      </c>
      <c r="C438" t="s">
        <v>1318</v>
      </c>
      <c r="D438" t="s">
        <v>40</v>
      </c>
      <c r="E438" t="s">
        <v>262</v>
      </c>
      <c r="F438" t="s">
        <v>263</v>
      </c>
      <c r="G438">
        <v>2</v>
      </c>
      <c r="H438">
        <v>13262.15</v>
      </c>
      <c r="I438">
        <v>0.15</v>
      </c>
      <c r="J438">
        <v>22545.65</v>
      </c>
      <c r="K438">
        <v>1491.77</v>
      </c>
      <c r="L438">
        <v>4.6</v>
      </c>
      <c r="M438" s="53">
        <v>45201</v>
      </c>
      <c r="N438" t="s">
        <v>43</v>
      </c>
      <c r="O438" t="s">
        <v>44</v>
      </c>
      <c r="P438" s="54">
        <v>0.0661666441198191</v>
      </c>
    </row>
    <row r="439" spans="1:16">
      <c r="A439" t="s">
        <v>1319</v>
      </c>
      <c r="B439" t="s">
        <v>1320</v>
      </c>
      <c r="C439" t="s">
        <v>1321</v>
      </c>
      <c r="D439" t="s">
        <v>27</v>
      </c>
      <c r="E439" t="s">
        <v>48</v>
      </c>
      <c r="F439" t="s">
        <v>583</v>
      </c>
      <c r="G439">
        <v>3</v>
      </c>
      <c r="H439">
        <v>15509.68</v>
      </c>
      <c r="I439">
        <v>0.2</v>
      </c>
      <c r="J439">
        <v>37223.23</v>
      </c>
      <c r="K439">
        <v>2314.92</v>
      </c>
      <c r="L439">
        <v>3</v>
      </c>
      <c r="M439" s="53">
        <v>45415</v>
      </c>
      <c r="N439" t="s">
        <v>30</v>
      </c>
      <c r="O439" t="s">
        <v>31</v>
      </c>
      <c r="P439" s="54">
        <v>0.0621901968206413</v>
      </c>
    </row>
    <row r="440" spans="1:16">
      <c r="A440" t="s">
        <v>1322</v>
      </c>
      <c r="B440" t="s">
        <v>1323</v>
      </c>
      <c r="C440" t="s">
        <v>1324</v>
      </c>
      <c r="D440" t="s">
        <v>40</v>
      </c>
      <c r="E440" t="s">
        <v>262</v>
      </c>
      <c r="F440" t="s">
        <v>263</v>
      </c>
      <c r="G440">
        <v>4</v>
      </c>
      <c r="H440">
        <v>7044.65</v>
      </c>
      <c r="I440">
        <v>0</v>
      </c>
      <c r="J440">
        <v>28178.6</v>
      </c>
      <c r="K440">
        <v>2741.77</v>
      </c>
      <c r="L440">
        <v>3.4</v>
      </c>
      <c r="M440" s="53">
        <v>45575</v>
      </c>
      <c r="N440" t="s">
        <v>56</v>
      </c>
      <c r="O440" t="s">
        <v>23</v>
      </c>
      <c r="P440" s="54">
        <v>0.0972997239039555</v>
      </c>
    </row>
    <row r="441" spans="1:16">
      <c r="A441" t="s">
        <v>1325</v>
      </c>
      <c r="B441" t="s">
        <v>1326</v>
      </c>
      <c r="C441" t="s">
        <v>1327</v>
      </c>
      <c r="D441" t="s">
        <v>40</v>
      </c>
      <c r="E441" t="s">
        <v>174</v>
      </c>
      <c r="F441" t="s">
        <v>175</v>
      </c>
      <c r="G441">
        <v>3</v>
      </c>
      <c r="H441">
        <v>7147.06</v>
      </c>
      <c r="I441">
        <v>0.15</v>
      </c>
      <c r="J441">
        <v>18225</v>
      </c>
      <c r="K441">
        <v>1797.41</v>
      </c>
      <c r="L441">
        <v>3.8</v>
      </c>
      <c r="M441" s="53">
        <v>45284</v>
      </c>
      <c r="N441" t="s">
        <v>43</v>
      </c>
      <c r="O441" t="s">
        <v>57</v>
      </c>
      <c r="P441" s="54">
        <v>0.0986233196159122</v>
      </c>
    </row>
    <row r="442" spans="1:16">
      <c r="A442" t="s">
        <v>1328</v>
      </c>
      <c r="B442" t="s">
        <v>1329</v>
      </c>
      <c r="C442" t="s">
        <v>1330</v>
      </c>
      <c r="D442" t="s">
        <v>27</v>
      </c>
      <c r="E442" t="s">
        <v>117</v>
      </c>
      <c r="F442" t="s">
        <v>192</v>
      </c>
      <c r="G442">
        <v>5</v>
      </c>
      <c r="H442">
        <v>8949.25</v>
      </c>
      <c r="I442">
        <v>0.2</v>
      </c>
      <c r="J442">
        <v>35797</v>
      </c>
      <c r="K442">
        <v>8078.84</v>
      </c>
      <c r="L442">
        <v>3.1</v>
      </c>
      <c r="M442" s="53">
        <v>45190</v>
      </c>
      <c r="N442" t="s">
        <v>22</v>
      </c>
      <c r="O442" t="s">
        <v>57</v>
      </c>
      <c r="P442" s="54">
        <v>0.225684833924631</v>
      </c>
    </row>
    <row r="443" spans="1:16">
      <c r="A443" t="s">
        <v>1331</v>
      </c>
      <c r="B443" t="s">
        <v>1332</v>
      </c>
      <c r="C443" t="s">
        <v>1333</v>
      </c>
      <c r="D443" t="s">
        <v>27</v>
      </c>
      <c r="E443" t="s">
        <v>233</v>
      </c>
      <c r="F443" t="s">
        <v>665</v>
      </c>
      <c r="G443">
        <v>1</v>
      </c>
      <c r="H443">
        <v>19869.82</v>
      </c>
      <c r="I443">
        <v>0.2</v>
      </c>
      <c r="J443">
        <v>15895.86</v>
      </c>
      <c r="K443">
        <v>3185.91</v>
      </c>
      <c r="L443">
        <v>4.8</v>
      </c>
      <c r="M443" s="53">
        <v>45082</v>
      </c>
      <c r="N443" t="s">
        <v>22</v>
      </c>
      <c r="O443" t="s">
        <v>73</v>
      </c>
      <c r="P443" s="54">
        <v>0.20042388395469</v>
      </c>
    </row>
    <row r="444" spans="1:16">
      <c r="A444" t="s">
        <v>1334</v>
      </c>
      <c r="B444" t="s">
        <v>1335</v>
      </c>
      <c r="C444" t="s">
        <v>1336</v>
      </c>
      <c r="D444" t="s">
        <v>19</v>
      </c>
      <c r="E444" t="s">
        <v>20</v>
      </c>
      <c r="F444" t="s">
        <v>134</v>
      </c>
      <c r="G444">
        <v>3</v>
      </c>
      <c r="H444">
        <v>19193.77</v>
      </c>
      <c r="I444">
        <v>0.05</v>
      </c>
      <c r="J444">
        <v>54702.24</v>
      </c>
      <c r="K444">
        <v>10297.67</v>
      </c>
      <c r="L444">
        <v>4.1</v>
      </c>
      <c r="M444" s="53">
        <v>45127</v>
      </c>
      <c r="N444" t="s">
        <v>30</v>
      </c>
      <c r="O444" t="s">
        <v>23</v>
      </c>
      <c r="P444" s="54">
        <v>0.188249512268602</v>
      </c>
    </row>
    <row r="445" spans="1:16">
      <c r="A445" t="s">
        <v>1337</v>
      </c>
      <c r="B445" t="s">
        <v>1338</v>
      </c>
      <c r="C445" t="s">
        <v>1339</v>
      </c>
      <c r="D445" t="s">
        <v>40</v>
      </c>
      <c r="E445" t="s">
        <v>262</v>
      </c>
      <c r="F445" t="s">
        <v>345</v>
      </c>
      <c r="G445">
        <v>1</v>
      </c>
      <c r="H445">
        <v>16501</v>
      </c>
      <c r="I445">
        <v>0.05</v>
      </c>
      <c r="J445">
        <v>15675.95</v>
      </c>
      <c r="K445">
        <v>2749.54</v>
      </c>
      <c r="L445">
        <v>1.8</v>
      </c>
      <c r="M445" s="53">
        <v>45535</v>
      </c>
      <c r="N445" t="s">
        <v>43</v>
      </c>
      <c r="O445" t="s">
        <v>44</v>
      </c>
      <c r="P445" s="54">
        <v>0.175398620179319</v>
      </c>
    </row>
    <row r="446" spans="1:16">
      <c r="A446" t="s">
        <v>1340</v>
      </c>
      <c r="B446" t="s">
        <v>1341</v>
      </c>
      <c r="C446" t="s">
        <v>1342</v>
      </c>
      <c r="D446" t="s">
        <v>19</v>
      </c>
      <c r="E446" t="s">
        <v>129</v>
      </c>
      <c r="F446" t="s">
        <v>167</v>
      </c>
      <c r="G446">
        <v>3</v>
      </c>
      <c r="H446">
        <v>16234.45</v>
      </c>
      <c r="I446">
        <v>0.05</v>
      </c>
      <c r="J446">
        <v>46268.18</v>
      </c>
      <c r="K446">
        <v>7925.42</v>
      </c>
      <c r="L446">
        <v>1.2</v>
      </c>
      <c r="M446" s="53">
        <v>45199</v>
      </c>
      <c r="N446" t="s">
        <v>22</v>
      </c>
      <c r="O446" t="s">
        <v>23</v>
      </c>
      <c r="P446" s="54">
        <v>0.171293100355363</v>
      </c>
    </row>
    <row r="447" spans="1:16">
      <c r="A447" t="s">
        <v>1343</v>
      </c>
      <c r="B447" t="s">
        <v>1344</v>
      </c>
      <c r="C447" t="s">
        <v>1345</v>
      </c>
      <c r="D447" t="s">
        <v>27</v>
      </c>
      <c r="E447" t="s">
        <v>48</v>
      </c>
      <c r="F447" t="s">
        <v>49</v>
      </c>
      <c r="G447">
        <v>2</v>
      </c>
      <c r="H447">
        <v>11479.04</v>
      </c>
      <c r="I447">
        <v>0</v>
      </c>
      <c r="J447">
        <v>22958.08</v>
      </c>
      <c r="K447">
        <v>4410</v>
      </c>
      <c r="L447">
        <v>4.1</v>
      </c>
      <c r="M447" s="53">
        <v>45584</v>
      </c>
      <c r="N447" t="s">
        <v>56</v>
      </c>
      <c r="O447" t="s">
        <v>23</v>
      </c>
      <c r="P447" s="54">
        <v>0.192089233942908</v>
      </c>
    </row>
    <row r="448" spans="1:16">
      <c r="A448" t="s">
        <v>1346</v>
      </c>
      <c r="B448" t="s">
        <v>220</v>
      </c>
      <c r="C448" t="s">
        <v>1347</v>
      </c>
      <c r="D448" t="s">
        <v>40</v>
      </c>
      <c r="E448" t="s">
        <v>81</v>
      </c>
      <c r="F448" t="s">
        <v>82</v>
      </c>
      <c r="G448">
        <v>4</v>
      </c>
      <c r="H448">
        <v>9498.14</v>
      </c>
      <c r="I448">
        <v>0.1</v>
      </c>
      <c r="J448">
        <v>34193.3</v>
      </c>
      <c r="K448">
        <v>6974.26</v>
      </c>
      <c r="L448">
        <v>2.5</v>
      </c>
      <c r="M448" s="53">
        <v>45291</v>
      </c>
      <c r="N448" t="s">
        <v>30</v>
      </c>
      <c r="O448" t="s">
        <v>73</v>
      </c>
      <c r="P448" s="54">
        <v>0.203965689184723</v>
      </c>
    </row>
    <row r="449" spans="1:16">
      <c r="A449" t="s">
        <v>1348</v>
      </c>
      <c r="B449" t="s">
        <v>1349</v>
      </c>
      <c r="C449" t="s">
        <v>1350</v>
      </c>
      <c r="D449" t="s">
        <v>27</v>
      </c>
      <c r="E449" t="s">
        <v>233</v>
      </c>
      <c r="F449" t="s">
        <v>234</v>
      </c>
      <c r="G449">
        <v>5</v>
      </c>
      <c r="H449">
        <v>8490.92</v>
      </c>
      <c r="I449">
        <v>0.05</v>
      </c>
      <c r="J449">
        <v>40331.87</v>
      </c>
      <c r="K449">
        <v>9780.26</v>
      </c>
      <c r="L449">
        <v>4.8</v>
      </c>
      <c r="M449" s="53">
        <v>45190</v>
      </c>
      <c r="N449" t="s">
        <v>22</v>
      </c>
      <c r="O449" t="s">
        <v>57</v>
      </c>
      <c r="P449" s="54">
        <v>0.242494583067931</v>
      </c>
    </row>
    <row r="450" spans="1:16">
      <c r="A450" t="s">
        <v>1351</v>
      </c>
      <c r="B450" t="s">
        <v>786</v>
      </c>
      <c r="C450" t="s">
        <v>1352</v>
      </c>
      <c r="D450" t="s">
        <v>53</v>
      </c>
      <c r="E450" t="s">
        <v>71</v>
      </c>
      <c r="F450" t="s">
        <v>225</v>
      </c>
      <c r="G450">
        <v>2</v>
      </c>
      <c r="H450">
        <v>14474.28</v>
      </c>
      <c r="I450">
        <v>0.15</v>
      </c>
      <c r="J450">
        <v>24606.28</v>
      </c>
      <c r="K450">
        <v>3768.19</v>
      </c>
      <c r="L450">
        <v>2.3</v>
      </c>
      <c r="M450" s="53">
        <v>45494</v>
      </c>
      <c r="N450" t="s">
        <v>56</v>
      </c>
      <c r="O450" t="s">
        <v>31</v>
      </c>
      <c r="P450" s="54">
        <v>0.153139361171213</v>
      </c>
    </row>
    <row r="451" spans="1:16">
      <c r="A451" t="s">
        <v>1353</v>
      </c>
      <c r="B451" t="s">
        <v>1354</v>
      </c>
      <c r="C451" t="s">
        <v>1355</v>
      </c>
      <c r="D451" t="s">
        <v>53</v>
      </c>
      <c r="E451" t="s">
        <v>71</v>
      </c>
      <c r="F451" t="s">
        <v>150</v>
      </c>
      <c r="G451">
        <v>3</v>
      </c>
      <c r="H451">
        <v>19012.76</v>
      </c>
      <c r="I451">
        <v>0</v>
      </c>
      <c r="J451">
        <v>57038.28</v>
      </c>
      <c r="K451">
        <v>13001.73</v>
      </c>
      <c r="L451">
        <v>2.1</v>
      </c>
      <c r="M451" s="53">
        <v>45401</v>
      </c>
      <c r="N451" t="s">
        <v>43</v>
      </c>
      <c r="O451" t="s">
        <v>31</v>
      </c>
      <c r="P451" s="54">
        <v>0.227947441612896</v>
      </c>
    </row>
    <row r="452" spans="1:16">
      <c r="A452" t="s">
        <v>1356</v>
      </c>
      <c r="B452" t="s">
        <v>1244</v>
      </c>
      <c r="C452" t="s">
        <v>1357</v>
      </c>
      <c r="D452" t="s">
        <v>40</v>
      </c>
      <c r="E452" t="s">
        <v>262</v>
      </c>
      <c r="F452" t="s">
        <v>345</v>
      </c>
      <c r="G452">
        <v>1</v>
      </c>
      <c r="H452">
        <v>5476.63</v>
      </c>
      <c r="I452">
        <v>0.05</v>
      </c>
      <c r="J452">
        <v>5202.8</v>
      </c>
      <c r="K452">
        <v>687.77</v>
      </c>
      <c r="L452">
        <v>4.1</v>
      </c>
      <c r="M452" s="53">
        <v>45536</v>
      </c>
      <c r="N452" t="s">
        <v>56</v>
      </c>
      <c r="O452" t="s">
        <v>57</v>
      </c>
      <c r="P452" s="54">
        <v>0.132192281079419</v>
      </c>
    </row>
    <row r="453" spans="1:16">
      <c r="A453" t="s">
        <v>1358</v>
      </c>
      <c r="B453" t="s">
        <v>894</v>
      </c>
      <c r="C453" t="s">
        <v>1359</v>
      </c>
      <c r="D453" t="s">
        <v>53</v>
      </c>
      <c r="E453" t="s">
        <v>95</v>
      </c>
      <c r="F453" t="s">
        <v>271</v>
      </c>
      <c r="G453">
        <v>3</v>
      </c>
      <c r="H453">
        <v>6450.91</v>
      </c>
      <c r="I453">
        <v>0.1</v>
      </c>
      <c r="J453">
        <v>17417.46</v>
      </c>
      <c r="K453">
        <v>3070.49</v>
      </c>
      <c r="L453">
        <v>4.3</v>
      </c>
      <c r="M453" s="53">
        <v>45244</v>
      </c>
      <c r="N453" t="s">
        <v>56</v>
      </c>
      <c r="O453" t="s">
        <v>31</v>
      </c>
      <c r="P453" s="54">
        <v>0.176288046592327</v>
      </c>
    </row>
    <row r="454" spans="1:16">
      <c r="A454" t="s">
        <v>1360</v>
      </c>
      <c r="B454" t="s">
        <v>159</v>
      </c>
      <c r="C454" t="s">
        <v>1361</v>
      </c>
      <c r="D454" t="s">
        <v>53</v>
      </c>
      <c r="E454" t="s">
        <v>100</v>
      </c>
      <c r="F454" t="s">
        <v>101</v>
      </c>
      <c r="G454">
        <v>5</v>
      </c>
      <c r="H454">
        <v>9041.75</v>
      </c>
      <c r="I454">
        <v>0.15</v>
      </c>
      <c r="J454">
        <v>38427.44</v>
      </c>
      <c r="K454">
        <v>3945.03</v>
      </c>
      <c r="L454">
        <v>1.6</v>
      </c>
      <c r="M454" s="53">
        <v>45217</v>
      </c>
      <c r="N454" t="s">
        <v>56</v>
      </c>
      <c r="O454" t="s">
        <v>57</v>
      </c>
      <c r="P454" s="54">
        <v>0.102661795841721</v>
      </c>
    </row>
    <row r="455" spans="1:16">
      <c r="A455" t="s">
        <v>1362</v>
      </c>
      <c r="B455" t="s">
        <v>1363</v>
      </c>
      <c r="C455" t="s">
        <v>1364</v>
      </c>
      <c r="D455" t="s">
        <v>53</v>
      </c>
      <c r="E455" t="s">
        <v>100</v>
      </c>
      <c r="F455" t="s">
        <v>267</v>
      </c>
      <c r="G455">
        <v>3</v>
      </c>
      <c r="H455">
        <v>12435.43</v>
      </c>
      <c r="I455">
        <v>0.15</v>
      </c>
      <c r="J455">
        <v>31710.35</v>
      </c>
      <c r="K455">
        <v>4107.07</v>
      </c>
      <c r="L455">
        <v>2.5</v>
      </c>
      <c r="M455" s="53">
        <v>45335</v>
      </c>
      <c r="N455" t="s">
        <v>43</v>
      </c>
      <c r="O455" t="s">
        <v>57</v>
      </c>
      <c r="P455" s="54">
        <v>0.12951828030911</v>
      </c>
    </row>
    <row r="456" spans="1:16">
      <c r="A456" t="s">
        <v>1365</v>
      </c>
      <c r="B456" t="s">
        <v>288</v>
      </c>
      <c r="C456" t="s">
        <v>1366</v>
      </c>
      <c r="D456" t="s">
        <v>27</v>
      </c>
      <c r="E456" t="s">
        <v>28</v>
      </c>
      <c r="F456" t="s">
        <v>105</v>
      </c>
      <c r="G456">
        <v>1</v>
      </c>
      <c r="H456">
        <v>14570.76</v>
      </c>
      <c r="I456">
        <v>0.15</v>
      </c>
      <c r="J456">
        <v>12385.15</v>
      </c>
      <c r="K456">
        <v>3021.41</v>
      </c>
      <c r="L456">
        <v>2.1</v>
      </c>
      <c r="M456" s="53">
        <v>44942</v>
      </c>
      <c r="N456" t="s">
        <v>30</v>
      </c>
      <c r="O456" t="s">
        <v>73</v>
      </c>
      <c r="P456" s="54">
        <v>0.243954251664291</v>
      </c>
    </row>
    <row r="457" spans="1:16">
      <c r="A457" t="s">
        <v>1367</v>
      </c>
      <c r="B457" t="s">
        <v>1368</v>
      </c>
      <c r="C457" t="s">
        <v>1369</v>
      </c>
      <c r="D457" t="s">
        <v>53</v>
      </c>
      <c r="E457" t="s">
        <v>95</v>
      </c>
      <c r="F457" t="s">
        <v>524</v>
      </c>
      <c r="G457">
        <v>4</v>
      </c>
      <c r="H457">
        <v>10286.85</v>
      </c>
      <c r="I457">
        <v>0.05</v>
      </c>
      <c r="J457">
        <v>39090.03</v>
      </c>
      <c r="K457">
        <v>9601.31</v>
      </c>
      <c r="L457">
        <v>3.1</v>
      </c>
      <c r="M457" s="53">
        <v>45540</v>
      </c>
      <c r="N457" t="s">
        <v>22</v>
      </c>
      <c r="O457" t="s">
        <v>57</v>
      </c>
      <c r="P457" s="54">
        <v>0.245620430580381</v>
      </c>
    </row>
    <row r="458" spans="1:16">
      <c r="A458" t="s">
        <v>1370</v>
      </c>
      <c r="B458" t="s">
        <v>1371</v>
      </c>
      <c r="C458" t="s">
        <v>1372</v>
      </c>
      <c r="D458" t="s">
        <v>40</v>
      </c>
      <c r="E458" t="s">
        <v>81</v>
      </c>
      <c r="F458" t="s">
        <v>358</v>
      </c>
      <c r="G458">
        <v>5</v>
      </c>
      <c r="H458">
        <v>513.61</v>
      </c>
      <c r="I458">
        <v>0.2</v>
      </c>
      <c r="J458">
        <v>2054.44</v>
      </c>
      <c r="K458">
        <v>167.04</v>
      </c>
      <c r="L458">
        <v>4.3</v>
      </c>
      <c r="M458" s="53">
        <v>45545</v>
      </c>
      <c r="N458" t="s">
        <v>43</v>
      </c>
      <c r="O458" t="s">
        <v>23</v>
      </c>
      <c r="P458" s="54">
        <v>0.0813068281380814</v>
      </c>
    </row>
    <row r="459" spans="1:16">
      <c r="A459" t="s">
        <v>1373</v>
      </c>
      <c r="B459" t="s">
        <v>1374</v>
      </c>
      <c r="C459" t="s">
        <v>1375</v>
      </c>
      <c r="D459" t="s">
        <v>27</v>
      </c>
      <c r="E459" t="s">
        <v>117</v>
      </c>
      <c r="F459" t="s">
        <v>505</v>
      </c>
      <c r="G459">
        <v>2</v>
      </c>
      <c r="H459">
        <v>11846.09</v>
      </c>
      <c r="I459">
        <v>0.1</v>
      </c>
      <c r="J459">
        <v>21322.96</v>
      </c>
      <c r="K459">
        <v>1707.99</v>
      </c>
      <c r="L459">
        <v>2.8</v>
      </c>
      <c r="M459" s="53">
        <v>45650</v>
      </c>
      <c r="N459" t="s">
        <v>56</v>
      </c>
      <c r="O459" t="s">
        <v>57</v>
      </c>
      <c r="P459" s="54">
        <v>0.080100980351696</v>
      </c>
    </row>
    <row r="460" spans="1:16">
      <c r="A460" t="s">
        <v>1376</v>
      </c>
      <c r="B460" t="s">
        <v>304</v>
      </c>
      <c r="C460" t="s">
        <v>1377</v>
      </c>
      <c r="D460" t="s">
        <v>40</v>
      </c>
      <c r="E460" t="s">
        <v>174</v>
      </c>
      <c r="F460" t="s">
        <v>202</v>
      </c>
      <c r="G460">
        <v>2</v>
      </c>
      <c r="H460">
        <v>18942.52</v>
      </c>
      <c r="I460">
        <v>0.2</v>
      </c>
      <c r="J460">
        <v>30308.03</v>
      </c>
      <c r="K460">
        <v>1658.27</v>
      </c>
      <c r="L460">
        <v>2.4</v>
      </c>
      <c r="M460" s="53">
        <v>44937</v>
      </c>
      <c r="N460" t="s">
        <v>22</v>
      </c>
      <c r="O460" t="s">
        <v>57</v>
      </c>
      <c r="P460" s="54">
        <v>0.054713882756484</v>
      </c>
    </row>
    <row r="461" spans="1:16">
      <c r="A461" t="s">
        <v>1378</v>
      </c>
      <c r="B461" t="s">
        <v>288</v>
      </c>
      <c r="C461" t="s">
        <v>1379</v>
      </c>
      <c r="D461" t="s">
        <v>40</v>
      </c>
      <c r="E461" t="s">
        <v>81</v>
      </c>
      <c r="F461" t="s">
        <v>241</v>
      </c>
      <c r="G461">
        <v>1</v>
      </c>
      <c r="H461">
        <v>12866.5</v>
      </c>
      <c r="I461">
        <v>0</v>
      </c>
      <c r="J461">
        <v>12866.5</v>
      </c>
      <c r="K461">
        <v>1246.63</v>
      </c>
      <c r="L461">
        <v>3.9</v>
      </c>
      <c r="M461" s="53">
        <v>45441</v>
      </c>
      <c r="N461" t="s">
        <v>30</v>
      </c>
      <c r="O461" t="s">
        <v>44</v>
      </c>
      <c r="P461" s="54">
        <v>0.0968895970155054</v>
      </c>
    </row>
    <row r="462" spans="1:16">
      <c r="A462" t="s">
        <v>1380</v>
      </c>
      <c r="B462" t="s">
        <v>897</v>
      </c>
      <c r="C462" t="s">
        <v>1381</v>
      </c>
      <c r="D462" t="s">
        <v>19</v>
      </c>
      <c r="E462" t="s">
        <v>35</v>
      </c>
      <c r="F462" t="s">
        <v>121</v>
      </c>
      <c r="G462">
        <v>4</v>
      </c>
      <c r="H462">
        <v>14489.31</v>
      </c>
      <c r="I462">
        <v>0.05</v>
      </c>
      <c r="J462">
        <v>55059.38</v>
      </c>
      <c r="K462">
        <v>4331.05</v>
      </c>
      <c r="L462">
        <v>2.2</v>
      </c>
      <c r="M462" s="53">
        <v>45088</v>
      </c>
      <c r="N462" t="s">
        <v>43</v>
      </c>
      <c r="O462" t="s">
        <v>44</v>
      </c>
      <c r="P462" s="54">
        <v>0.0786614378876043</v>
      </c>
    </row>
    <row r="463" spans="1:16">
      <c r="A463" t="s">
        <v>1382</v>
      </c>
      <c r="B463" t="s">
        <v>798</v>
      </c>
      <c r="C463" t="s">
        <v>1383</v>
      </c>
      <c r="D463" t="s">
        <v>40</v>
      </c>
      <c r="E463" t="s">
        <v>262</v>
      </c>
      <c r="F463" t="s">
        <v>385</v>
      </c>
      <c r="G463">
        <v>5</v>
      </c>
      <c r="H463">
        <v>776.08</v>
      </c>
      <c r="I463">
        <v>0.2</v>
      </c>
      <c r="J463">
        <v>3104.32</v>
      </c>
      <c r="K463">
        <v>330.43</v>
      </c>
      <c r="L463">
        <v>3.5</v>
      </c>
      <c r="M463" s="53">
        <v>45526</v>
      </c>
      <c r="N463" t="s">
        <v>30</v>
      </c>
      <c r="O463" t="s">
        <v>44</v>
      </c>
      <c r="P463" s="54">
        <v>0.106441990516442</v>
      </c>
    </row>
    <row r="464" spans="1:16">
      <c r="A464" t="s">
        <v>1384</v>
      </c>
      <c r="B464" t="s">
        <v>780</v>
      </c>
      <c r="C464" t="s">
        <v>457</v>
      </c>
      <c r="D464" t="s">
        <v>27</v>
      </c>
      <c r="E464" t="s">
        <v>233</v>
      </c>
      <c r="F464" t="s">
        <v>362</v>
      </c>
      <c r="G464">
        <v>3</v>
      </c>
      <c r="H464">
        <v>18288.73</v>
      </c>
      <c r="I464">
        <v>0.15</v>
      </c>
      <c r="J464">
        <v>46636.26</v>
      </c>
      <c r="K464">
        <v>10659.13</v>
      </c>
      <c r="L464">
        <v>3.7</v>
      </c>
      <c r="M464" s="53">
        <v>45552</v>
      </c>
      <c r="N464" t="s">
        <v>30</v>
      </c>
      <c r="O464" t="s">
        <v>57</v>
      </c>
      <c r="P464" s="54">
        <v>0.22855885098848</v>
      </c>
    </row>
    <row r="465" spans="1:16">
      <c r="A465" t="s">
        <v>1385</v>
      </c>
      <c r="B465" t="s">
        <v>1335</v>
      </c>
      <c r="C465" t="s">
        <v>1386</v>
      </c>
      <c r="D465" t="s">
        <v>27</v>
      </c>
      <c r="E465" t="s">
        <v>48</v>
      </c>
      <c r="F465" t="s">
        <v>49</v>
      </c>
      <c r="G465">
        <v>3</v>
      </c>
      <c r="H465">
        <v>13448.89</v>
      </c>
      <c r="I465">
        <v>0.2</v>
      </c>
      <c r="J465">
        <v>32277.34</v>
      </c>
      <c r="K465">
        <v>7710.78</v>
      </c>
      <c r="L465">
        <v>1.3</v>
      </c>
      <c r="M465" s="53">
        <v>45459</v>
      </c>
      <c r="N465" t="s">
        <v>30</v>
      </c>
      <c r="O465" t="s">
        <v>44</v>
      </c>
      <c r="P465" s="54">
        <v>0.238891432813237</v>
      </c>
    </row>
    <row r="466" spans="1:16">
      <c r="A466" t="s">
        <v>1387</v>
      </c>
      <c r="B466" t="s">
        <v>1312</v>
      </c>
      <c r="C466" t="s">
        <v>1388</v>
      </c>
      <c r="D466" t="s">
        <v>40</v>
      </c>
      <c r="E466" t="s">
        <v>174</v>
      </c>
      <c r="F466" t="s">
        <v>313</v>
      </c>
      <c r="G466">
        <v>4</v>
      </c>
      <c r="H466">
        <v>11923.51</v>
      </c>
      <c r="I466">
        <v>0</v>
      </c>
      <c r="J466">
        <v>47694.04</v>
      </c>
      <c r="K466">
        <v>4756.38</v>
      </c>
      <c r="L466">
        <v>3.8</v>
      </c>
      <c r="M466" s="53">
        <v>45324</v>
      </c>
      <c r="N466" t="s">
        <v>56</v>
      </c>
      <c r="O466" t="s">
        <v>23</v>
      </c>
      <c r="P466" s="54">
        <v>0.0997269260477829</v>
      </c>
    </row>
    <row r="467" spans="1:16">
      <c r="A467" t="s">
        <v>1389</v>
      </c>
      <c r="B467" t="s">
        <v>1390</v>
      </c>
      <c r="C467" t="s">
        <v>1391</v>
      </c>
      <c r="D467" t="s">
        <v>40</v>
      </c>
      <c r="E467" t="s">
        <v>174</v>
      </c>
      <c r="F467" t="s">
        <v>175</v>
      </c>
      <c r="G467">
        <v>2</v>
      </c>
      <c r="H467">
        <v>10980.04</v>
      </c>
      <c r="I467">
        <v>0</v>
      </c>
      <c r="J467">
        <v>21960.08</v>
      </c>
      <c r="K467">
        <v>2343.37</v>
      </c>
      <c r="L467">
        <v>5</v>
      </c>
      <c r="M467" s="53">
        <v>45513</v>
      </c>
      <c r="N467" t="s">
        <v>30</v>
      </c>
      <c r="O467" t="s">
        <v>73</v>
      </c>
      <c r="P467" s="54">
        <v>0.106710449142262</v>
      </c>
    </row>
    <row r="468" spans="1:16">
      <c r="A468" t="s">
        <v>1392</v>
      </c>
      <c r="B468" t="s">
        <v>456</v>
      </c>
      <c r="C468" t="s">
        <v>1393</v>
      </c>
      <c r="D468" t="s">
        <v>40</v>
      </c>
      <c r="E468" t="s">
        <v>262</v>
      </c>
      <c r="F468" t="s">
        <v>345</v>
      </c>
      <c r="G468">
        <v>3</v>
      </c>
      <c r="H468">
        <v>13340.4</v>
      </c>
      <c r="I468">
        <v>0</v>
      </c>
      <c r="J468">
        <v>40021.2</v>
      </c>
      <c r="K468">
        <v>2744.99</v>
      </c>
      <c r="L468">
        <v>1.2</v>
      </c>
      <c r="M468" s="53">
        <v>45119</v>
      </c>
      <c r="N468" t="s">
        <v>43</v>
      </c>
      <c r="O468" t="s">
        <v>44</v>
      </c>
      <c r="P468" s="54">
        <v>0.068588398148981</v>
      </c>
    </row>
    <row r="469" spans="1:16">
      <c r="A469" t="s">
        <v>1394</v>
      </c>
      <c r="B469" t="s">
        <v>1395</v>
      </c>
      <c r="C469" t="s">
        <v>1396</v>
      </c>
      <c r="D469" t="s">
        <v>27</v>
      </c>
      <c r="E469" t="s">
        <v>117</v>
      </c>
      <c r="F469" t="s">
        <v>192</v>
      </c>
      <c r="G469">
        <v>5</v>
      </c>
      <c r="H469">
        <v>18969.89</v>
      </c>
      <c r="I469">
        <v>0</v>
      </c>
      <c r="J469">
        <v>94849.45</v>
      </c>
      <c r="K469">
        <v>21994.32</v>
      </c>
      <c r="L469">
        <v>2.4</v>
      </c>
      <c r="M469" s="53">
        <v>45038</v>
      </c>
      <c r="N469" t="s">
        <v>56</v>
      </c>
      <c r="O469" t="s">
        <v>44</v>
      </c>
      <c r="P469" s="54">
        <v>0.231886637191887</v>
      </c>
    </row>
    <row r="470" spans="1:16">
      <c r="A470" t="s">
        <v>1397</v>
      </c>
      <c r="B470" t="s">
        <v>998</v>
      </c>
      <c r="C470" t="s">
        <v>1398</v>
      </c>
      <c r="D470" t="s">
        <v>40</v>
      </c>
      <c r="E470" t="s">
        <v>41</v>
      </c>
      <c r="F470" t="s">
        <v>42</v>
      </c>
      <c r="G470">
        <v>4</v>
      </c>
      <c r="H470">
        <v>12416.85</v>
      </c>
      <c r="I470">
        <v>0.15</v>
      </c>
      <c r="J470">
        <v>42217.29</v>
      </c>
      <c r="K470">
        <v>9517.97</v>
      </c>
      <c r="L470">
        <v>4.4</v>
      </c>
      <c r="M470" s="53">
        <v>45141</v>
      </c>
      <c r="N470" t="s">
        <v>43</v>
      </c>
      <c r="O470" t="s">
        <v>57</v>
      </c>
      <c r="P470" s="54">
        <v>0.225451941609705</v>
      </c>
    </row>
    <row r="471" spans="1:16">
      <c r="A471" t="s">
        <v>1399</v>
      </c>
      <c r="B471" t="s">
        <v>1349</v>
      </c>
      <c r="C471" t="s">
        <v>1400</v>
      </c>
      <c r="D471" t="s">
        <v>53</v>
      </c>
      <c r="E471" t="s">
        <v>100</v>
      </c>
      <c r="F471" t="s">
        <v>101</v>
      </c>
      <c r="G471">
        <v>3</v>
      </c>
      <c r="H471">
        <v>9204.17</v>
      </c>
      <c r="I471">
        <v>0.2</v>
      </c>
      <c r="J471">
        <v>22090.01</v>
      </c>
      <c r="K471">
        <v>1607.79</v>
      </c>
      <c r="L471">
        <v>2.7</v>
      </c>
      <c r="M471" s="53">
        <v>45151</v>
      </c>
      <c r="N471" t="s">
        <v>22</v>
      </c>
      <c r="O471" t="s">
        <v>23</v>
      </c>
      <c r="P471" s="54">
        <v>0.072783579545686</v>
      </c>
    </row>
    <row r="472" spans="1:16">
      <c r="A472" t="s">
        <v>1401</v>
      </c>
      <c r="B472" t="s">
        <v>1402</v>
      </c>
      <c r="C472" t="s">
        <v>1403</v>
      </c>
      <c r="D472" t="s">
        <v>19</v>
      </c>
      <c r="E472" t="s">
        <v>20</v>
      </c>
      <c r="F472" t="s">
        <v>454</v>
      </c>
      <c r="G472">
        <v>4</v>
      </c>
      <c r="H472">
        <v>17092.41</v>
      </c>
      <c r="I472">
        <v>0.2</v>
      </c>
      <c r="J472">
        <v>54695.71</v>
      </c>
      <c r="K472">
        <v>4523.65</v>
      </c>
      <c r="L472">
        <v>1.1</v>
      </c>
      <c r="M472" s="53">
        <v>45553</v>
      </c>
      <c r="N472" t="s">
        <v>30</v>
      </c>
      <c r="O472" t="s">
        <v>23</v>
      </c>
      <c r="P472" s="54">
        <v>0.0827057551680013</v>
      </c>
    </row>
    <row r="473" spans="1:16">
      <c r="A473" t="s">
        <v>1404</v>
      </c>
      <c r="B473" t="s">
        <v>1405</v>
      </c>
      <c r="C473" t="s">
        <v>1406</v>
      </c>
      <c r="D473" t="s">
        <v>19</v>
      </c>
      <c r="E473" t="s">
        <v>35</v>
      </c>
      <c r="F473" t="s">
        <v>215</v>
      </c>
      <c r="G473">
        <v>1</v>
      </c>
      <c r="H473">
        <v>3354.05</v>
      </c>
      <c r="I473">
        <v>0.2</v>
      </c>
      <c r="J473">
        <v>2683.24</v>
      </c>
      <c r="K473">
        <v>662.26</v>
      </c>
      <c r="L473">
        <v>1.6</v>
      </c>
      <c r="M473" s="53">
        <v>45332</v>
      </c>
      <c r="N473" t="s">
        <v>30</v>
      </c>
      <c r="O473" t="s">
        <v>23</v>
      </c>
      <c r="P473" s="54">
        <v>0.246813553763361</v>
      </c>
    </row>
    <row r="474" spans="1:16">
      <c r="A474" t="s">
        <v>1407</v>
      </c>
      <c r="B474" t="s">
        <v>1408</v>
      </c>
      <c r="C474" t="s">
        <v>1409</v>
      </c>
      <c r="D474" t="s">
        <v>53</v>
      </c>
      <c r="E474" t="s">
        <v>71</v>
      </c>
      <c r="F474" t="s">
        <v>72</v>
      </c>
      <c r="G474">
        <v>2</v>
      </c>
      <c r="H474">
        <v>16728.35</v>
      </c>
      <c r="I474">
        <v>0</v>
      </c>
      <c r="J474">
        <v>33456.7</v>
      </c>
      <c r="K474">
        <v>6412.7</v>
      </c>
      <c r="L474">
        <v>4.1</v>
      </c>
      <c r="M474" s="53">
        <v>45347</v>
      </c>
      <c r="N474" t="s">
        <v>30</v>
      </c>
      <c r="O474" t="s">
        <v>57</v>
      </c>
      <c r="P474" s="54">
        <v>0.191671623322085</v>
      </c>
    </row>
    <row r="475" spans="1:16">
      <c r="A475" t="s">
        <v>1410</v>
      </c>
      <c r="B475" t="s">
        <v>1411</v>
      </c>
      <c r="C475" t="s">
        <v>1412</v>
      </c>
      <c r="D475" t="s">
        <v>19</v>
      </c>
      <c r="E475" t="s">
        <v>35</v>
      </c>
      <c r="F475" t="s">
        <v>36</v>
      </c>
      <c r="G475">
        <v>5</v>
      </c>
      <c r="H475">
        <v>15270.71</v>
      </c>
      <c r="I475">
        <v>0</v>
      </c>
      <c r="J475">
        <v>76353.55</v>
      </c>
      <c r="K475">
        <v>15287.81</v>
      </c>
      <c r="L475">
        <v>2.8</v>
      </c>
      <c r="M475" s="53">
        <v>45520</v>
      </c>
      <c r="N475" t="s">
        <v>56</v>
      </c>
      <c r="O475" t="s">
        <v>73</v>
      </c>
      <c r="P475" s="54">
        <v>0.200223958152568</v>
      </c>
    </row>
    <row r="476" spans="1:16">
      <c r="A476" t="s">
        <v>1413</v>
      </c>
      <c r="B476" t="s">
        <v>1414</v>
      </c>
      <c r="C476" t="s">
        <v>1415</v>
      </c>
      <c r="D476" t="s">
        <v>27</v>
      </c>
      <c r="E476" t="s">
        <v>28</v>
      </c>
      <c r="F476" t="s">
        <v>29</v>
      </c>
      <c r="G476">
        <v>4</v>
      </c>
      <c r="H476">
        <v>12538.13</v>
      </c>
      <c r="I476">
        <v>0.15</v>
      </c>
      <c r="J476">
        <v>42629.64</v>
      </c>
      <c r="K476">
        <v>6654.6</v>
      </c>
      <c r="L476">
        <v>4.1</v>
      </c>
      <c r="M476" s="53">
        <v>45466</v>
      </c>
      <c r="N476" t="s">
        <v>30</v>
      </c>
      <c r="O476" t="s">
        <v>31</v>
      </c>
      <c r="P476" s="54">
        <v>0.156102655335583</v>
      </c>
    </row>
    <row r="477" spans="1:16">
      <c r="A477" t="s">
        <v>1416</v>
      </c>
      <c r="B477" t="s">
        <v>1143</v>
      </c>
      <c r="C477" t="s">
        <v>1417</v>
      </c>
      <c r="D477" t="s">
        <v>19</v>
      </c>
      <c r="E477" t="s">
        <v>20</v>
      </c>
      <c r="F477" t="s">
        <v>21</v>
      </c>
      <c r="G477">
        <v>1</v>
      </c>
      <c r="H477">
        <v>17314.83</v>
      </c>
      <c r="I477">
        <v>0.2</v>
      </c>
      <c r="J477">
        <v>13851.86</v>
      </c>
      <c r="K477">
        <v>2528.66</v>
      </c>
      <c r="L477">
        <v>4.4</v>
      </c>
      <c r="M477" s="53">
        <v>45538</v>
      </c>
      <c r="N477" t="s">
        <v>56</v>
      </c>
      <c r="O477" t="s">
        <v>44</v>
      </c>
      <c r="P477" s="54">
        <v>0.182550213473136</v>
      </c>
    </row>
    <row r="478" spans="1:16">
      <c r="A478" t="s">
        <v>1418</v>
      </c>
      <c r="B478" t="s">
        <v>432</v>
      </c>
      <c r="C478" t="s">
        <v>1419</v>
      </c>
      <c r="D478" t="s">
        <v>53</v>
      </c>
      <c r="E478" t="s">
        <v>71</v>
      </c>
      <c r="F478" t="s">
        <v>150</v>
      </c>
      <c r="G478">
        <v>2</v>
      </c>
      <c r="H478">
        <v>7264.01</v>
      </c>
      <c r="I478">
        <v>0</v>
      </c>
      <c r="J478">
        <v>14528.02</v>
      </c>
      <c r="K478">
        <v>1538.39</v>
      </c>
      <c r="L478">
        <v>4.8</v>
      </c>
      <c r="M478" s="53">
        <v>44998</v>
      </c>
      <c r="N478" t="s">
        <v>43</v>
      </c>
      <c r="O478" t="s">
        <v>73</v>
      </c>
      <c r="P478" s="54">
        <v>0.10589123638321</v>
      </c>
    </row>
    <row r="479" spans="1:16">
      <c r="A479" t="s">
        <v>1420</v>
      </c>
      <c r="B479" t="s">
        <v>1421</v>
      </c>
      <c r="C479" t="s">
        <v>1422</v>
      </c>
      <c r="D479" t="s">
        <v>40</v>
      </c>
      <c r="E479" t="s">
        <v>262</v>
      </c>
      <c r="F479" t="s">
        <v>263</v>
      </c>
      <c r="G479">
        <v>4</v>
      </c>
      <c r="H479">
        <v>4031.61</v>
      </c>
      <c r="I479">
        <v>0.05</v>
      </c>
      <c r="J479">
        <v>15320.12</v>
      </c>
      <c r="K479">
        <v>3085.61</v>
      </c>
      <c r="L479">
        <v>4.6</v>
      </c>
      <c r="M479" s="53">
        <v>45280</v>
      </c>
      <c r="N479" t="s">
        <v>30</v>
      </c>
      <c r="O479" t="s">
        <v>44</v>
      </c>
      <c r="P479" s="54">
        <v>0.20140899679637</v>
      </c>
    </row>
    <row r="480" spans="1:16">
      <c r="A480" t="s">
        <v>1423</v>
      </c>
      <c r="B480" t="s">
        <v>1424</v>
      </c>
      <c r="C480" t="s">
        <v>1425</v>
      </c>
      <c r="D480" t="s">
        <v>40</v>
      </c>
      <c r="E480" t="s">
        <v>81</v>
      </c>
      <c r="F480" t="s">
        <v>358</v>
      </c>
      <c r="G480">
        <v>5</v>
      </c>
      <c r="H480">
        <v>12797.88</v>
      </c>
      <c r="I480">
        <v>0.15</v>
      </c>
      <c r="J480">
        <v>54390.99</v>
      </c>
      <c r="K480">
        <v>5336.03</v>
      </c>
      <c r="L480">
        <v>3.9</v>
      </c>
      <c r="M480" s="53">
        <v>45303</v>
      </c>
      <c r="N480" t="s">
        <v>43</v>
      </c>
      <c r="O480" t="s">
        <v>73</v>
      </c>
      <c r="P480" s="54">
        <v>0.0981050354111959</v>
      </c>
    </row>
    <row r="481" spans="1:16">
      <c r="A481" t="s">
        <v>1426</v>
      </c>
      <c r="B481" t="s">
        <v>540</v>
      </c>
      <c r="C481" t="s">
        <v>1427</v>
      </c>
      <c r="D481" t="s">
        <v>53</v>
      </c>
      <c r="E481" t="s">
        <v>100</v>
      </c>
      <c r="F481" t="s">
        <v>229</v>
      </c>
      <c r="G481">
        <v>2</v>
      </c>
      <c r="H481">
        <v>9802.83</v>
      </c>
      <c r="I481">
        <v>0.05</v>
      </c>
      <c r="J481">
        <v>18625.38</v>
      </c>
      <c r="K481">
        <v>1612.19</v>
      </c>
      <c r="L481">
        <v>2.3</v>
      </c>
      <c r="M481" s="53">
        <v>45641</v>
      </c>
      <c r="N481" t="s">
        <v>22</v>
      </c>
      <c r="O481" t="s">
        <v>57</v>
      </c>
      <c r="P481" s="54">
        <v>0.0865587708814532</v>
      </c>
    </row>
    <row r="482" spans="1:16">
      <c r="A482" t="s">
        <v>1428</v>
      </c>
      <c r="B482" t="s">
        <v>239</v>
      </c>
      <c r="C482" t="s">
        <v>1429</v>
      </c>
      <c r="D482" t="s">
        <v>27</v>
      </c>
      <c r="E482" t="s">
        <v>233</v>
      </c>
      <c r="F482" t="s">
        <v>234</v>
      </c>
      <c r="G482">
        <v>3</v>
      </c>
      <c r="H482">
        <v>15214.95</v>
      </c>
      <c r="I482">
        <v>0.15</v>
      </c>
      <c r="J482">
        <v>38798.12</v>
      </c>
      <c r="K482">
        <v>8124.57</v>
      </c>
      <c r="L482">
        <v>2.1</v>
      </c>
      <c r="M482" s="53">
        <v>45368</v>
      </c>
      <c r="N482" t="s">
        <v>43</v>
      </c>
      <c r="O482" t="s">
        <v>31</v>
      </c>
      <c r="P482" s="54">
        <v>0.209406280510499</v>
      </c>
    </row>
    <row r="483" spans="1:16">
      <c r="A483" t="s">
        <v>1430</v>
      </c>
      <c r="B483" t="s">
        <v>1431</v>
      </c>
      <c r="C483" t="s">
        <v>1432</v>
      </c>
      <c r="D483" t="s">
        <v>40</v>
      </c>
      <c r="E483" t="s">
        <v>174</v>
      </c>
      <c r="F483" t="s">
        <v>199</v>
      </c>
      <c r="G483">
        <v>4</v>
      </c>
      <c r="H483">
        <v>14242.94</v>
      </c>
      <c r="I483">
        <v>0.05</v>
      </c>
      <c r="J483">
        <v>54123.17</v>
      </c>
      <c r="K483">
        <v>8698.17</v>
      </c>
      <c r="L483">
        <v>4.3</v>
      </c>
      <c r="M483" s="53">
        <v>45292</v>
      </c>
      <c r="N483" t="s">
        <v>22</v>
      </c>
      <c r="O483" t="s">
        <v>73</v>
      </c>
      <c r="P483" s="54">
        <v>0.160710653126933</v>
      </c>
    </row>
    <row r="484" spans="1:16">
      <c r="A484" t="s">
        <v>1433</v>
      </c>
      <c r="B484" t="s">
        <v>89</v>
      </c>
      <c r="C484" t="s">
        <v>1434</v>
      </c>
      <c r="D484" t="s">
        <v>19</v>
      </c>
      <c r="E484" t="s">
        <v>35</v>
      </c>
      <c r="F484" t="s">
        <v>121</v>
      </c>
      <c r="G484">
        <v>5</v>
      </c>
      <c r="H484">
        <v>4339.58</v>
      </c>
      <c r="I484">
        <v>0.2</v>
      </c>
      <c r="J484">
        <v>17358.32</v>
      </c>
      <c r="K484">
        <v>4177.24</v>
      </c>
      <c r="L484">
        <v>4.9</v>
      </c>
      <c r="M484" s="53">
        <v>45095</v>
      </c>
      <c r="N484" t="s">
        <v>43</v>
      </c>
      <c r="O484" t="s">
        <v>44</v>
      </c>
      <c r="P484" s="54">
        <v>0.240647712451435</v>
      </c>
    </row>
    <row r="485" spans="1:16">
      <c r="A485" t="s">
        <v>1435</v>
      </c>
      <c r="B485" t="s">
        <v>1436</v>
      </c>
      <c r="C485" t="s">
        <v>1437</v>
      </c>
      <c r="D485" t="s">
        <v>27</v>
      </c>
      <c r="E485" t="s">
        <v>48</v>
      </c>
      <c r="F485" t="s">
        <v>64</v>
      </c>
      <c r="G485">
        <v>4</v>
      </c>
      <c r="H485">
        <v>15857.63</v>
      </c>
      <c r="I485">
        <v>0.05</v>
      </c>
      <c r="J485">
        <v>60258.99</v>
      </c>
      <c r="K485">
        <v>8868.39</v>
      </c>
      <c r="L485">
        <v>3.1</v>
      </c>
      <c r="M485" s="53">
        <v>45617</v>
      </c>
      <c r="N485" t="s">
        <v>56</v>
      </c>
      <c r="O485" t="s">
        <v>31</v>
      </c>
      <c r="P485" s="54">
        <v>0.147171235362557</v>
      </c>
    </row>
    <row r="486" spans="1:16">
      <c r="A486" t="s">
        <v>1438</v>
      </c>
      <c r="B486" t="s">
        <v>260</v>
      </c>
      <c r="C486" t="s">
        <v>1439</v>
      </c>
      <c r="D486" t="s">
        <v>53</v>
      </c>
      <c r="E486" t="s">
        <v>95</v>
      </c>
      <c r="F486" t="s">
        <v>306</v>
      </c>
      <c r="G486">
        <v>5</v>
      </c>
      <c r="H486">
        <v>10792.18</v>
      </c>
      <c r="I486">
        <v>0</v>
      </c>
      <c r="J486">
        <v>53960.9</v>
      </c>
      <c r="K486">
        <v>5155</v>
      </c>
      <c r="L486">
        <v>2.7</v>
      </c>
      <c r="M486" s="53">
        <v>45257</v>
      </c>
      <c r="N486" t="s">
        <v>43</v>
      </c>
      <c r="O486" t="s">
        <v>73</v>
      </c>
      <c r="P486" s="54">
        <v>0.0955321353053785</v>
      </c>
    </row>
    <row r="487" spans="1:16">
      <c r="A487" t="s">
        <v>1440</v>
      </c>
      <c r="B487" t="s">
        <v>1441</v>
      </c>
      <c r="C487" t="s">
        <v>1442</v>
      </c>
      <c r="D487" t="s">
        <v>53</v>
      </c>
      <c r="E487" t="s">
        <v>71</v>
      </c>
      <c r="F487" t="s">
        <v>225</v>
      </c>
      <c r="G487">
        <v>4</v>
      </c>
      <c r="H487">
        <v>16744.23</v>
      </c>
      <c r="I487">
        <v>0.15</v>
      </c>
      <c r="J487">
        <v>56930.38</v>
      </c>
      <c r="K487">
        <v>12271.39</v>
      </c>
      <c r="L487">
        <v>2.5</v>
      </c>
      <c r="M487" s="53">
        <v>45220</v>
      </c>
      <c r="N487" t="s">
        <v>30</v>
      </c>
      <c r="O487" t="s">
        <v>31</v>
      </c>
      <c r="P487" s="54">
        <v>0.215550818385544</v>
      </c>
    </row>
    <row r="488" spans="1:16">
      <c r="A488" t="s">
        <v>1443</v>
      </c>
      <c r="B488" t="s">
        <v>590</v>
      </c>
      <c r="C488" t="s">
        <v>1444</v>
      </c>
      <c r="D488" t="s">
        <v>19</v>
      </c>
      <c r="E488" t="s">
        <v>35</v>
      </c>
      <c r="F488" t="s">
        <v>215</v>
      </c>
      <c r="G488">
        <v>2</v>
      </c>
      <c r="H488">
        <v>11621.36</v>
      </c>
      <c r="I488">
        <v>0.1</v>
      </c>
      <c r="J488">
        <v>20918.45</v>
      </c>
      <c r="K488">
        <v>4420.62</v>
      </c>
      <c r="L488">
        <v>1.6</v>
      </c>
      <c r="M488" s="53">
        <v>45549</v>
      </c>
      <c r="N488" t="s">
        <v>56</v>
      </c>
      <c r="O488" t="s">
        <v>57</v>
      </c>
      <c r="P488" s="54">
        <v>0.211326365003143</v>
      </c>
    </row>
    <row r="489" spans="1:16">
      <c r="A489" t="s">
        <v>1445</v>
      </c>
      <c r="B489" t="s">
        <v>1446</v>
      </c>
      <c r="C489" t="s">
        <v>1447</v>
      </c>
      <c r="D489" t="s">
        <v>19</v>
      </c>
      <c r="E489" t="s">
        <v>129</v>
      </c>
      <c r="F489" t="s">
        <v>167</v>
      </c>
      <c r="G489">
        <v>1</v>
      </c>
      <c r="H489">
        <v>5390.47</v>
      </c>
      <c r="I489">
        <v>0</v>
      </c>
      <c r="J489">
        <v>5390.47</v>
      </c>
      <c r="K489">
        <v>540.85</v>
      </c>
      <c r="L489">
        <v>4.5</v>
      </c>
      <c r="M489" s="53">
        <v>45158</v>
      </c>
      <c r="N489" t="s">
        <v>56</v>
      </c>
      <c r="O489" t="s">
        <v>23</v>
      </c>
      <c r="P489" s="54">
        <v>0.100334479182706</v>
      </c>
    </row>
    <row r="490" spans="1:16">
      <c r="A490" t="s">
        <v>1448</v>
      </c>
      <c r="B490" t="s">
        <v>1449</v>
      </c>
      <c r="C490" t="s">
        <v>1450</v>
      </c>
      <c r="D490" t="s">
        <v>19</v>
      </c>
      <c r="E490" t="s">
        <v>86</v>
      </c>
      <c r="F490" t="s">
        <v>87</v>
      </c>
      <c r="G490">
        <v>3</v>
      </c>
      <c r="H490">
        <v>10266.74</v>
      </c>
      <c r="I490">
        <v>0.1</v>
      </c>
      <c r="J490">
        <v>27720.2</v>
      </c>
      <c r="K490">
        <v>2190.54</v>
      </c>
      <c r="L490">
        <v>2.9</v>
      </c>
      <c r="M490" s="53">
        <v>44981</v>
      </c>
      <c r="N490" t="s">
        <v>22</v>
      </c>
      <c r="O490" t="s">
        <v>57</v>
      </c>
      <c r="P490" s="54">
        <v>0.0790232393705673</v>
      </c>
    </row>
    <row r="491" spans="1:16">
      <c r="A491" t="s">
        <v>1451</v>
      </c>
      <c r="B491" t="s">
        <v>1452</v>
      </c>
      <c r="C491" t="s">
        <v>949</v>
      </c>
      <c r="D491" t="s">
        <v>27</v>
      </c>
      <c r="E491" t="s">
        <v>28</v>
      </c>
      <c r="F491" t="s">
        <v>225</v>
      </c>
      <c r="G491">
        <v>5</v>
      </c>
      <c r="H491">
        <v>19670.38</v>
      </c>
      <c r="I491">
        <v>0.15</v>
      </c>
      <c r="J491">
        <v>83599.12</v>
      </c>
      <c r="K491">
        <v>7923.43</v>
      </c>
      <c r="L491">
        <v>1.2</v>
      </c>
      <c r="M491" s="53">
        <v>44989</v>
      </c>
      <c r="N491" t="s">
        <v>56</v>
      </c>
      <c r="O491" t="s">
        <v>23</v>
      </c>
      <c r="P491" s="54">
        <v>0.094778868485697</v>
      </c>
    </row>
    <row r="492" spans="1:16">
      <c r="A492" t="s">
        <v>1453</v>
      </c>
      <c r="B492" t="s">
        <v>1454</v>
      </c>
      <c r="C492" t="s">
        <v>1455</v>
      </c>
      <c r="D492" t="s">
        <v>53</v>
      </c>
      <c r="E492" t="s">
        <v>100</v>
      </c>
      <c r="F492" t="s">
        <v>271</v>
      </c>
      <c r="G492">
        <v>3</v>
      </c>
      <c r="H492">
        <v>4653.86</v>
      </c>
      <c r="I492">
        <v>0.05</v>
      </c>
      <c r="J492">
        <v>13263.5</v>
      </c>
      <c r="K492">
        <v>2090.91</v>
      </c>
      <c r="L492">
        <v>2.4</v>
      </c>
      <c r="M492" s="53">
        <v>45199</v>
      </c>
      <c r="N492" t="s">
        <v>22</v>
      </c>
      <c r="O492" t="s">
        <v>23</v>
      </c>
      <c r="P492" s="54">
        <v>0.157643909978512</v>
      </c>
    </row>
    <row r="493" spans="1:16">
      <c r="A493" t="s">
        <v>1456</v>
      </c>
      <c r="B493" t="s">
        <v>98</v>
      </c>
      <c r="C493" t="s">
        <v>1457</v>
      </c>
      <c r="D493" t="s">
        <v>53</v>
      </c>
      <c r="E493" t="s">
        <v>71</v>
      </c>
      <c r="F493" t="s">
        <v>225</v>
      </c>
      <c r="G493">
        <v>5</v>
      </c>
      <c r="H493">
        <v>17348.64</v>
      </c>
      <c r="I493">
        <v>0.05</v>
      </c>
      <c r="J493">
        <v>82406.04</v>
      </c>
      <c r="K493">
        <v>6024.16</v>
      </c>
      <c r="L493">
        <v>1.1</v>
      </c>
      <c r="M493" s="53">
        <v>45447</v>
      </c>
      <c r="N493" t="s">
        <v>43</v>
      </c>
      <c r="O493" t="s">
        <v>73</v>
      </c>
      <c r="P493" s="54">
        <v>0.0731033793153997</v>
      </c>
    </row>
    <row r="494" spans="1:16">
      <c r="A494" t="s">
        <v>1458</v>
      </c>
      <c r="B494" t="s">
        <v>1459</v>
      </c>
      <c r="C494" t="s">
        <v>1460</v>
      </c>
      <c r="D494" t="s">
        <v>19</v>
      </c>
      <c r="E494" t="s">
        <v>35</v>
      </c>
      <c r="F494" t="s">
        <v>245</v>
      </c>
      <c r="G494">
        <v>2</v>
      </c>
      <c r="H494">
        <v>15191.03</v>
      </c>
      <c r="I494">
        <v>0.2</v>
      </c>
      <c r="J494">
        <v>24305.65</v>
      </c>
      <c r="K494">
        <v>1810.54</v>
      </c>
      <c r="L494">
        <v>4.7</v>
      </c>
      <c r="M494" s="53">
        <v>45020</v>
      </c>
      <c r="N494" t="s">
        <v>30</v>
      </c>
      <c r="O494" t="s">
        <v>23</v>
      </c>
      <c r="P494" s="54">
        <v>0.074490499122632</v>
      </c>
    </row>
    <row r="495" spans="1:16">
      <c r="A495" t="s">
        <v>1461</v>
      </c>
      <c r="B495" t="s">
        <v>1462</v>
      </c>
      <c r="C495" t="s">
        <v>1463</v>
      </c>
      <c r="D495" t="s">
        <v>40</v>
      </c>
      <c r="E495" t="s">
        <v>262</v>
      </c>
      <c r="F495" t="s">
        <v>345</v>
      </c>
      <c r="G495">
        <v>4</v>
      </c>
      <c r="H495">
        <v>13218.47</v>
      </c>
      <c r="I495">
        <v>0.15</v>
      </c>
      <c r="J495">
        <v>44942.8</v>
      </c>
      <c r="K495">
        <v>2373.93</v>
      </c>
      <c r="L495">
        <v>4.8</v>
      </c>
      <c r="M495" s="53">
        <v>45035</v>
      </c>
      <c r="N495" t="s">
        <v>56</v>
      </c>
      <c r="O495" t="s">
        <v>31</v>
      </c>
      <c r="P495" s="54">
        <v>0.0528211415399129</v>
      </c>
    </row>
    <row r="496" spans="1:16">
      <c r="A496" t="s">
        <v>1464</v>
      </c>
      <c r="B496" t="s">
        <v>1465</v>
      </c>
      <c r="C496" t="s">
        <v>1466</v>
      </c>
      <c r="D496" t="s">
        <v>40</v>
      </c>
      <c r="E496" t="s">
        <v>262</v>
      </c>
      <c r="F496" t="s">
        <v>263</v>
      </c>
      <c r="G496">
        <v>4</v>
      </c>
      <c r="H496">
        <v>7641.17</v>
      </c>
      <c r="I496">
        <v>0.2</v>
      </c>
      <c r="J496">
        <v>24451.74</v>
      </c>
      <c r="K496">
        <v>5773.01</v>
      </c>
      <c r="L496">
        <v>4</v>
      </c>
      <c r="M496" s="53">
        <v>45143</v>
      </c>
      <c r="N496" t="s">
        <v>22</v>
      </c>
      <c r="O496" t="s">
        <v>31</v>
      </c>
      <c r="P496" s="54">
        <v>0.236098126350108</v>
      </c>
    </row>
    <row r="497" spans="1:16">
      <c r="A497" t="s">
        <v>1467</v>
      </c>
      <c r="B497" t="s">
        <v>1468</v>
      </c>
      <c r="C497" t="s">
        <v>1469</v>
      </c>
      <c r="D497" t="s">
        <v>19</v>
      </c>
      <c r="E497" t="s">
        <v>86</v>
      </c>
      <c r="F497" t="s">
        <v>113</v>
      </c>
      <c r="G497">
        <v>2</v>
      </c>
      <c r="H497">
        <v>6468.94</v>
      </c>
      <c r="I497">
        <v>0.15</v>
      </c>
      <c r="J497">
        <v>10997.2</v>
      </c>
      <c r="K497">
        <v>2323.09</v>
      </c>
      <c r="L497">
        <v>1</v>
      </c>
      <c r="M497" s="53">
        <v>45269</v>
      </c>
      <c r="N497" t="s">
        <v>30</v>
      </c>
      <c r="O497" t="s">
        <v>57</v>
      </c>
      <c r="P497" s="54">
        <v>0.211243771141745</v>
      </c>
    </row>
    <row r="498" spans="1:16">
      <c r="A498" t="s">
        <v>1470</v>
      </c>
      <c r="B498" t="s">
        <v>843</v>
      </c>
      <c r="C498" t="s">
        <v>1471</v>
      </c>
      <c r="D498" t="s">
        <v>40</v>
      </c>
      <c r="E498" t="s">
        <v>262</v>
      </c>
      <c r="F498" t="s">
        <v>385</v>
      </c>
      <c r="G498">
        <v>3</v>
      </c>
      <c r="H498">
        <v>17967.5</v>
      </c>
      <c r="I498">
        <v>0.05</v>
      </c>
      <c r="J498">
        <v>51207.38</v>
      </c>
      <c r="K498">
        <v>2739.8</v>
      </c>
      <c r="L498">
        <v>4.7</v>
      </c>
      <c r="M498" s="53">
        <v>45351</v>
      </c>
      <c r="N498" t="s">
        <v>43</v>
      </c>
      <c r="O498" t="s">
        <v>73</v>
      </c>
      <c r="P498" s="54">
        <v>0.0535040066490416</v>
      </c>
    </row>
    <row r="499" spans="1:16">
      <c r="A499" t="s">
        <v>1472</v>
      </c>
      <c r="B499" t="s">
        <v>823</v>
      </c>
      <c r="C499" t="s">
        <v>1473</v>
      </c>
      <c r="D499" t="s">
        <v>40</v>
      </c>
      <c r="E499" t="s">
        <v>174</v>
      </c>
      <c r="F499" t="s">
        <v>175</v>
      </c>
      <c r="G499">
        <v>2</v>
      </c>
      <c r="H499">
        <v>3795.47</v>
      </c>
      <c r="I499">
        <v>0.1</v>
      </c>
      <c r="J499">
        <v>6831.85</v>
      </c>
      <c r="K499">
        <v>656.23</v>
      </c>
      <c r="L499">
        <v>1.9</v>
      </c>
      <c r="M499" s="53">
        <v>45515</v>
      </c>
      <c r="N499" t="s">
        <v>30</v>
      </c>
      <c r="O499" t="s">
        <v>31</v>
      </c>
      <c r="P499" s="54">
        <v>0.0960545093935025</v>
      </c>
    </row>
    <row r="500" spans="1:16">
      <c r="A500" t="s">
        <v>1474</v>
      </c>
      <c r="B500" t="s">
        <v>1475</v>
      </c>
      <c r="C500" t="s">
        <v>1476</v>
      </c>
      <c r="D500" t="s">
        <v>27</v>
      </c>
      <c r="E500" t="s">
        <v>28</v>
      </c>
      <c r="F500" t="s">
        <v>29</v>
      </c>
      <c r="G500">
        <v>4</v>
      </c>
      <c r="H500">
        <v>19247.11</v>
      </c>
      <c r="I500">
        <v>0.15</v>
      </c>
      <c r="J500">
        <v>65440.17</v>
      </c>
      <c r="K500">
        <v>14355.97</v>
      </c>
      <c r="L500">
        <v>2.7</v>
      </c>
      <c r="M500" s="53">
        <v>45286</v>
      </c>
      <c r="N500" t="s">
        <v>30</v>
      </c>
      <c r="O500" t="s">
        <v>57</v>
      </c>
      <c r="P500" s="54">
        <v>0.219375499788586</v>
      </c>
    </row>
    <row r="501" spans="1:16">
      <c r="A501" t="s">
        <v>1477</v>
      </c>
      <c r="B501" t="s">
        <v>889</v>
      </c>
      <c r="C501" t="s">
        <v>1478</v>
      </c>
      <c r="D501" t="s">
        <v>53</v>
      </c>
      <c r="E501" t="s">
        <v>71</v>
      </c>
      <c r="F501" t="s">
        <v>72</v>
      </c>
      <c r="G501">
        <v>3</v>
      </c>
      <c r="H501">
        <v>3159.66</v>
      </c>
      <c r="I501">
        <v>0.1</v>
      </c>
      <c r="J501">
        <v>8531.08</v>
      </c>
      <c r="K501">
        <v>1103.87</v>
      </c>
      <c r="L501">
        <v>2.1</v>
      </c>
      <c r="M501" s="53">
        <v>45459</v>
      </c>
      <c r="N501" t="s">
        <v>43</v>
      </c>
      <c r="O501" t="s">
        <v>57</v>
      </c>
      <c r="P501" s="54">
        <v>0.12939393371062</v>
      </c>
    </row>
    <row r="502" spans="1:16">
      <c r="A502" t="s">
        <v>1479</v>
      </c>
      <c r="B502" t="s">
        <v>636</v>
      </c>
      <c r="C502" t="s">
        <v>1480</v>
      </c>
      <c r="D502" t="s">
        <v>19</v>
      </c>
      <c r="E502" t="s">
        <v>35</v>
      </c>
      <c r="F502" t="s">
        <v>215</v>
      </c>
      <c r="G502">
        <v>2</v>
      </c>
      <c r="H502">
        <v>11210.32</v>
      </c>
      <c r="I502">
        <v>0.2</v>
      </c>
      <c r="J502">
        <v>17936.51</v>
      </c>
      <c r="K502">
        <v>3045.58</v>
      </c>
      <c r="L502">
        <v>1.2</v>
      </c>
      <c r="M502" s="53">
        <v>44959</v>
      </c>
      <c r="N502" t="s">
        <v>56</v>
      </c>
      <c r="O502" t="s">
        <v>44</v>
      </c>
      <c r="P502" s="54">
        <v>0.169797803474589</v>
      </c>
    </row>
    <row r="503" spans="1:16">
      <c r="A503" t="s">
        <v>1481</v>
      </c>
      <c r="B503" t="s">
        <v>567</v>
      </c>
      <c r="C503" t="s">
        <v>1055</v>
      </c>
      <c r="D503" t="s">
        <v>27</v>
      </c>
      <c r="E503" t="s">
        <v>233</v>
      </c>
      <c r="F503" t="s">
        <v>606</v>
      </c>
      <c r="G503">
        <v>4</v>
      </c>
      <c r="H503">
        <v>9953.5</v>
      </c>
      <c r="I503">
        <v>0</v>
      </c>
      <c r="J503">
        <v>39814</v>
      </c>
      <c r="K503">
        <v>5497.62</v>
      </c>
      <c r="L503">
        <v>4.3</v>
      </c>
      <c r="M503" s="53">
        <v>45216</v>
      </c>
      <c r="N503" t="s">
        <v>30</v>
      </c>
      <c r="O503" t="s">
        <v>57</v>
      </c>
      <c r="P503" s="54">
        <v>0.138082584015673</v>
      </c>
    </row>
    <row r="504" spans="1:16">
      <c r="A504" t="s">
        <v>1482</v>
      </c>
      <c r="B504" t="s">
        <v>1483</v>
      </c>
      <c r="C504" t="s">
        <v>1484</v>
      </c>
      <c r="D504" t="s">
        <v>40</v>
      </c>
      <c r="E504" t="s">
        <v>174</v>
      </c>
      <c r="F504" t="s">
        <v>202</v>
      </c>
      <c r="G504">
        <v>4</v>
      </c>
      <c r="H504">
        <v>12814.39</v>
      </c>
      <c r="I504">
        <v>0</v>
      </c>
      <c r="J504">
        <v>51257.56</v>
      </c>
      <c r="K504">
        <v>4592.72</v>
      </c>
      <c r="L504">
        <v>1.3</v>
      </c>
      <c r="M504" s="53">
        <v>45540</v>
      </c>
      <c r="N504" t="s">
        <v>43</v>
      </c>
      <c r="O504" t="s">
        <v>57</v>
      </c>
      <c r="P504" s="54">
        <v>0.0896008315651389</v>
      </c>
    </row>
    <row r="505" spans="1:16">
      <c r="A505" t="s">
        <v>1485</v>
      </c>
      <c r="B505" t="s">
        <v>408</v>
      </c>
      <c r="C505" t="s">
        <v>1486</v>
      </c>
      <c r="D505" t="s">
        <v>40</v>
      </c>
      <c r="E505" t="s">
        <v>81</v>
      </c>
      <c r="F505" t="s">
        <v>82</v>
      </c>
      <c r="G505">
        <v>3</v>
      </c>
      <c r="H505">
        <v>14114.32</v>
      </c>
      <c r="I505">
        <v>0.2</v>
      </c>
      <c r="J505">
        <v>33874.37</v>
      </c>
      <c r="K505">
        <v>3078.9</v>
      </c>
      <c r="L505">
        <v>4.9</v>
      </c>
      <c r="M505" s="53">
        <v>44969</v>
      </c>
      <c r="N505" t="s">
        <v>22</v>
      </c>
      <c r="O505" t="s">
        <v>31</v>
      </c>
      <c r="P505" s="54">
        <v>0.0908917272852602</v>
      </c>
    </row>
    <row r="506" spans="1:16">
      <c r="A506" t="s">
        <v>1487</v>
      </c>
      <c r="B506" t="s">
        <v>1488</v>
      </c>
      <c r="C506" t="s">
        <v>1489</v>
      </c>
      <c r="D506" t="s">
        <v>40</v>
      </c>
      <c r="E506" t="s">
        <v>41</v>
      </c>
      <c r="F506" t="s">
        <v>154</v>
      </c>
      <c r="G506">
        <v>4</v>
      </c>
      <c r="H506">
        <v>14340.67</v>
      </c>
      <c r="I506">
        <v>0.2</v>
      </c>
      <c r="J506">
        <v>45890.14</v>
      </c>
      <c r="K506">
        <v>8055.11</v>
      </c>
      <c r="L506">
        <v>1.1</v>
      </c>
      <c r="M506" s="53">
        <v>45113</v>
      </c>
      <c r="N506" t="s">
        <v>30</v>
      </c>
      <c r="O506" t="s">
        <v>44</v>
      </c>
      <c r="P506" s="54">
        <v>0.175530299101288</v>
      </c>
    </row>
    <row r="507" spans="1:16">
      <c r="A507" t="s">
        <v>1490</v>
      </c>
      <c r="B507" t="s">
        <v>1491</v>
      </c>
      <c r="C507" t="s">
        <v>835</v>
      </c>
      <c r="D507" t="s">
        <v>40</v>
      </c>
      <c r="E507" t="s">
        <v>262</v>
      </c>
      <c r="F507" t="s">
        <v>263</v>
      </c>
      <c r="G507">
        <v>2</v>
      </c>
      <c r="H507">
        <v>13721.8</v>
      </c>
      <c r="I507">
        <v>0</v>
      </c>
      <c r="J507">
        <v>27443.6</v>
      </c>
      <c r="K507">
        <v>6403.56</v>
      </c>
      <c r="L507">
        <v>4.4</v>
      </c>
      <c r="M507" s="53">
        <v>45554</v>
      </c>
      <c r="N507" t="s">
        <v>22</v>
      </c>
      <c r="O507" t="s">
        <v>73</v>
      </c>
      <c r="P507" s="54">
        <v>0.233335276712968</v>
      </c>
    </row>
    <row r="508" spans="1:16">
      <c r="A508" t="s">
        <v>1492</v>
      </c>
      <c r="B508" t="s">
        <v>1493</v>
      </c>
      <c r="C508" t="s">
        <v>1494</v>
      </c>
      <c r="D508" t="s">
        <v>40</v>
      </c>
      <c r="E508" t="s">
        <v>262</v>
      </c>
      <c r="F508" t="s">
        <v>263</v>
      </c>
      <c r="G508">
        <v>2</v>
      </c>
      <c r="H508">
        <v>540.35</v>
      </c>
      <c r="I508">
        <v>0.15</v>
      </c>
      <c r="J508">
        <v>918.6</v>
      </c>
      <c r="K508">
        <v>160.8</v>
      </c>
      <c r="L508">
        <v>4</v>
      </c>
      <c r="M508" s="53">
        <v>45352</v>
      </c>
      <c r="N508" t="s">
        <v>30</v>
      </c>
      <c r="O508" t="s">
        <v>73</v>
      </c>
      <c r="P508" s="54">
        <v>0.175048987589811</v>
      </c>
    </row>
    <row r="509" spans="1:16">
      <c r="A509" t="s">
        <v>1495</v>
      </c>
      <c r="B509" t="s">
        <v>1234</v>
      </c>
      <c r="C509" t="s">
        <v>1496</v>
      </c>
      <c r="D509" t="s">
        <v>19</v>
      </c>
      <c r="E509" t="s">
        <v>129</v>
      </c>
      <c r="F509" t="s">
        <v>130</v>
      </c>
      <c r="G509">
        <v>2</v>
      </c>
      <c r="H509">
        <v>8443.79</v>
      </c>
      <c r="I509">
        <v>0.1</v>
      </c>
      <c r="J509">
        <v>15198.82</v>
      </c>
      <c r="K509">
        <v>3248.33</v>
      </c>
      <c r="L509">
        <v>3.6</v>
      </c>
      <c r="M509" s="53">
        <v>45288</v>
      </c>
      <c r="N509" t="s">
        <v>22</v>
      </c>
      <c r="O509" t="s">
        <v>31</v>
      </c>
      <c r="P509" s="54">
        <v>0.213722512668747</v>
      </c>
    </row>
    <row r="510" spans="1:16">
      <c r="A510" t="s">
        <v>1497</v>
      </c>
      <c r="B510" t="s">
        <v>1498</v>
      </c>
      <c r="C510" t="s">
        <v>1499</v>
      </c>
      <c r="D510" t="s">
        <v>19</v>
      </c>
      <c r="E510" t="s">
        <v>35</v>
      </c>
      <c r="F510" t="s">
        <v>36</v>
      </c>
      <c r="G510">
        <v>3</v>
      </c>
      <c r="H510">
        <v>15173.83</v>
      </c>
      <c r="I510">
        <v>0.15</v>
      </c>
      <c r="J510">
        <v>38693.27</v>
      </c>
      <c r="K510">
        <v>2318.55</v>
      </c>
      <c r="L510">
        <v>3.6</v>
      </c>
      <c r="M510" s="53">
        <v>45467</v>
      </c>
      <c r="N510" t="s">
        <v>22</v>
      </c>
      <c r="O510" t="s">
        <v>23</v>
      </c>
      <c r="P510" s="54">
        <v>0.0599212731309605</v>
      </c>
    </row>
    <row r="511" spans="1:16">
      <c r="A511" t="s">
        <v>1500</v>
      </c>
      <c r="B511" t="s">
        <v>300</v>
      </c>
      <c r="C511" t="s">
        <v>1501</v>
      </c>
      <c r="D511" t="s">
        <v>27</v>
      </c>
      <c r="E511" t="s">
        <v>117</v>
      </c>
      <c r="F511" t="s">
        <v>225</v>
      </c>
      <c r="G511">
        <v>5</v>
      </c>
      <c r="H511">
        <v>15118.35</v>
      </c>
      <c r="I511">
        <v>0.15</v>
      </c>
      <c r="J511">
        <v>64252.99</v>
      </c>
      <c r="K511">
        <v>15137.87</v>
      </c>
      <c r="L511">
        <v>2.5</v>
      </c>
      <c r="M511" s="53">
        <v>45598</v>
      </c>
      <c r="N511" t="s">
        <v>43</v>
      </c>
      <c r="O511" t="s">
        <v>31</v>
      </c>
      <c r="P511" s="54">
        <v>0.235597907583756</v>
      </c>
    </row>
    <row r="512" spans="1:16">
      <c r="A512" t="s">
        <v>1502</v>
      </c>
      <c r="B512" t="s">
        <v>148</v>
      </c>
      <c r="C512" t="s">
        <v>498</v>
      </c>
      <c r="D512" t="s">
        <v>19</v>
      </c>
      <c r="E512" t="s">
        <v>35</v>
      </c>
      <c r="F512" t="s">
        <v>245</v>
      </c>
      <c r="G512">
        <v>5</v>
      </c>
      <c r="H512">
        <v>5295.46</v>
      </c>
      <c r="I512">
        <v>0.15</v>
      </c>
      <c r="J512">
        <v>22505.7</v>
      </c>
      <c r="K512">
        <v>2106.32</v>
      </c>
      <c r="L512">
        <v>4</v>
      </c>
      <c r="M512" s="53">
        <v>45291</v>
      </c>
      <c r="N512" t="s">
        <v>22</v>
      </c>
      <c r="O512" t="s">
        <v>31</v>
      </c>
      <c r="P512" s="54">
        <v>0.0935905126256904</v>
      </c>
    </row>
    <row r="513" spans="1:16">
      <c r="A513" t="s">
        <v>1503</v>
      </c>
      <c r="B513" t="s">
        <v>1504</v>
      </c>
      <c r="C513" t="s">
        <v>1505</v>
      </c>
      <c r="D513" t="s">
        <v>53</v>
      </c>
      <c r="E513" t="s">
        <v>54</v>
      </c>
      <c r="F513" t="s">
        <v>109</v>
      </c>
      <c r="G513">
        <v>1</v>
      </c>
      <c r="H513">
        <v>7111.44</v>
      </c>
      <c r="I513">
        <v>0.05</v>
      </c>
      <c r="J513">
        <v>6755.87</v>
      </c>
      <c r="K513">
        <v>1415.7</v>
      </c>
      <c r="L513">
        <v>2.9</v>
      </c>
      <c r="M513" s="53">
        <v>45288</v>
      </c>
      <c r="N513" t="s">
        <v>43</v>
      </c>
      <c r="O513" t="s">
        <v>23</v>
      </c>
      <c r="P513" s="54">
        <v>0.209551101486559</v>
      </c>
    </row>
    <row r="514" spans="1:16">
      <c r="A514" t="s">
        <v>1506</v>
      </c>
      <c r="B514" t="s">
        <v>1507</v>
      </c>
      <c r="C514" t="s">
        <v>1508</v>
      </c>
      <c r="D514" t="s">
        <v>40</v>
      </c>
      <c r="E514" t="s">
        <v>41</v>
      </c>
      <c r="F514" t="s">
        <v>42</v>
      </c>
      <c r="G514">
        <v>3</v>
      </c>
      <c r="H514">
        <v>16067.39</v>
      </c>
      <c r="I514">
        <v>0.1</v>
      </c>
      <c r="J514">
        <v>43381.95</v>
      </c>
      <c r="K514">
        <v>2437.77</v>
      </c>
      <c r="L514">
        <v>3.5</v>
      </c>
      <c r="M514" s="53">
        <v>45250</v>
      </c>
      <c r="N514" t="s">
        <v>30</v>
      </c>
      <c r="O514" t="s">
        <v>23</v>
      </c>
      <c r="P514" s="54">
        <v>0.0561931863367138</v>
      </c>
    </row>
    <row r="515" spans="1:16">
      <c r="A515" t="s">
        <v>1509</v>
      </c>
      <c r="B515" t="s">
        <v>522</v>
      </c>
      <c r="C515" t="s">
        <v>1510</v>
      </c>
      <c r="D515" t="s">
        <v>19</v>
      </c>
      <c r="E515" t="s">
        <v>129</v>
      </c>
      <c r="F515" t="s">
        <v>130</v>
      </c>
      <c r="G515">
        <v>5</v>
      </c>
      <c r="H515">
        <v>5850.1</v>
      </c>
      <c r="I515">
        <v>0</v>
      </c>
      <c r="J515">
        <v>29250.5</v>
      </c>
      <c r="K515">
        <v>4544.12</v>
      </c>
      <c r="L515">
        <v>3.6</v>
      </c>
      <c r="M515" s="53">
        <v>45479</v>
      </c>
      <c r="N515" t="s">
        <v>30</v>
      </c>
      <c r="O515" t="s">
        <v>73</v>
      </c>
      <c r="P515" s="54">
        <v>0.155351874326935</v>
      </c>
    </row>
    <row r="516" spans="1:16">
      <c r="A516" t="s">
        <v>1511</v>
      </c>
      <c r="B516" t="s">
        <v>435</v>
      </c>
      <c r="C516" t="s">
        <v>1512</v>
      </c>
      <c r="D516" t="s">
        <v>40</v>
      </c>
      <c r="E516" t="s">
        <v>174</v>
      </c>
      <c r="F516" t="s">
        <v>199</v>
      </c>
      <c r="G516">
        <v>2</v>
      </c>
      <c r="H516">
        <v>19668.12</v>
      </c>
      <c r="I516">
        <v>0</v>
      </c>
      <c r="J516">
        <v>39336.24</v>
      </c>
      <c r="K516">
        <v>8973.02</v>
      </c>
      <c r="L516">
        <v>2.7</v>
      </c>
      <c r="M516" s="53">
        <v>45310</v>
      </c>
      <c r="N516" t="s">
        <v>30</v>
      </c>
      <c r="O516" t="s">
        <v>73</v>
      </c>
      <c r="P516" s="54">
        <v>0.228110770119361</v>
      </c>
    </row>
    <row r="517" spans="1:16">
      <c r="A517" t="s">
        <v>1513</v>
      </c>
      <c r="B517" t="s">
        <v>1395</v>
      </c>
      <c r="C517" t="s">
        <v>1514</v>
      </c>
      <c r="D517" t="s">
        <v>40</v>
      </c>
      <c r="E517" t="s">
        <v>262</v>
      </c>
      <c r="F517" t="s">
        <v>385</v>
      </c>
      <c r="G517">
        <v>3</v>
      </c>
      <c r="H517">
        <v>16698.43</v>
      </c>
      <c r="I517">
        <v>0.1</v>
      </c>
      <c r="J517">
        <v>45085.76</v>
      </c>
      <c r="K517">
        <v>3401.74</v>
      </c>
      <c r="L517">
        <v>4.2</v>
      </c>
      <c r="M517" s="53">
        <v>45327</v>
      </c>
      <c r="N517" t="s">
        <v>56</v>
      </c>
      <c r="O517" t="s">
        <v>31</v>
      </c>
      <c r="P517" s="54">
        <v>0.0754504304685116</v>
      </c>
    </row>
    <row r="518" spans="1:16">
      <c r="A518" t="s">
        <v>1515</v>
      </c>
      <c r="B518" t="s">
        <v>456</v>
      </c>
      <c r="C518" t="s">
        <v>1516</v>
      </c>
      <c r="D518" t="s">
        <v>27</v>
      </c>
      <c r="E518" t="s">
        <v>48</v>
      </c>
      <c r="F518" t="s">
        <v>49</v>
      </c>
      <c r="G518">
        <v>4</v>
      </c>
      <c r="H518">
        <v>11138.62</v>
      </c>
      <c r="I518">
        <v>0.05</v>
      </c>
      <c r="J518">
        <v>42326.76</v>
      </c>
      <c r="K518">
        <v>6173.6</v>
      </c>
      <c r="L518">
        <v>2.3</v>
      </c>
      <c r="M518" s="53">
        <v>44936</v>
      </c>
      <c r="N518" t="s">
        <v>22</v>
      </c>
      <c r="O518" t="s">
        <v>73</v>
      </c>
      <c r="P518" s="54">
        <v>0.145855718698998</v>
      </c>
    </row>
    <row r="519" spans="1:16">
      <c r="A519" t="s">
        <v>1517</v>
      </c>
      <c r="B519" t="s">
        <v>1211</v>
      </c>
      <c r="C519" t="s">
        <v>1518</v>
      </c>
      <c r="D519" t="s">
        <v>53</v>
      </c>
      <c r="E519" t="s">
        <v>54</v>
      </c>
      <c r="F519" t="s">
        <v>55</v>
      </c>
      <c r="G519">
        <v>4</v>
      </c>
      <c r="H519">
        <v>8483.14</v>
      </c>
      <c r="I519">
        <v>0.05</v>
      </c>
      <c r="J519">
        <v>32235.93</v>
      </c>
      <c r="K519">
        <v>6457.97</v>
      </c>
      <c r="L519">
        <v>1.8</v>
      </c>
      <c r="M519" s="53">
        <v>45312</v>
      </c>
      <c r="N519" t="s">
        <v>43</v>
      </c>
      <c r="O519" t="s">
        <v>23</v>
      </c>
      <c r="P519" s="54">
        <v>0.200334533546884</v>
      </c>
    </row>
    <row r="520" spans="1:16">
      <c r="A520" t="s">
        <v>1519</v>
      </c>
      <c r="B520" t="s">
        <v>1520</v>
      </c>
      <c r="C520" t="s">
        <v>1521</v>
      </c>
      <c r="D520" t="s">
        <v>53</v>
      </c>
      <c r="E520" t="s">
        <v>54</v>
      </c>
      <c r="F520" t="s">
        <v>55</v>
      </c>
      <c r="G520">
        <v>3</v>
      </c>
      <c r="H520">
        <v>18869.98</v>
      </c>
      <c r="I520">
        <v>0.15</v>
      </c>
      <c r="J520">
        <v>48118.45</v>
      </c>
      <c r="K520">
        <v>10058.72</v>
      </c>
      <c r="L520">
        <v>1.5</v>
      </c>
      <c r="M520" s="53">
        <v>45305</v>
      </c>
      <c r="N520" t="s">
        <v>22</v>
      </c>
      <c r="O520" t="s">
        <v>57</v>
      </c>
      <c r="P520" s="54">
        <v>0.209040814905717</v>
      </c>
    </row>
    <row r="521" spans="1:16">
      <c r="A521" t="s">
        <v>1522</v>
      </c>
      <c r="B521" t="s">
        <v>1523</v>
      </c>
      <c r="C521" t="s">
        <v>1524</v>
      </c>
      <c r="D521" t="s">
        <v>19</v>
      </c>
      <c r="E521" t="s">
        <v>35</v>
      </c>
      <c r="F521" t="s">
        <v>36</v>
      </c>
      <c r="G521">
        <v>3</v>
      </c>
      <c r="H521">
        <v>8465.11</v>
      </c>
      <c r="I521">
        <v>0.15</v>
      </c>
      <c r="J521">
        <v>21586.03</v>
      </c>
      <c r="K521">
        <v>3546.36</v>
      </c>
      <c r="L521">
        <v>3.5</v>
      </c>
      <c r="M521" s="53">
        <v>45327</v>
      </c>
      <c r="N521" t="s">
        <v>22</v>
      </c>
      <c r="O521" t="s">
        <v>23</v>
      </c>
      <c r="P521" s="54">
        <v>0.164289589146314</v>
      </c>
    </row>
    <row r="522" spans="1:16">
      <c r="A522" t="s">
        <v>1525</v>
      </c>
      <c r="B522" t="s">
        <v>1526</v>
      </c>
      <c r="C522" t="s">
        <v>1527</v>
      </c>
      <c r="D522" t="s">
        <v>53</v>
      </c>
      <c r="E522" t="s">
        <v>100</v>
      </c>
      <c r="F522" t="s">
        <v>271</v>
      </c>
      <c r="G522">
        <v>5</v>
      </c>
      <c r="H522">
        <v>10528.21</v>
      </c>
      <c r="I522">
        <v>0</v>
      </c>
      <c r="J522">
        <v>52641.05</v>
      </c>
      <c r="K522">
        <v>2703.74</v>
      </c>
      <c r="L522">
        <v>2.8</v>
      </c>
      <c r="M522" s="53">
        <v>44944</v>
      </c>
      <c r="N522" t="s">
        <v>22</v>
      </c>
      <c r="O522" t="s">
        <v>57</v>
      </c>
      <c r="P522" s="54">
        <v>0.0513618174409515</v>
      </c>
    </row>
    <row r="523" spans="1:16">
      <c r="A523" t="s">
        <v>1528</v>
      </c>
      <c r="B523" t="s">
        <v>398</v>
      </c>
      <c r="C523" t="s">
        <v>1529</v>
      </c>
      <c r="D523" t="s">
        <v>19</v>
      </c>
      <c r="E523" t="s">
        <v>129</v>
      </c>
      <c r="F523" t="s">
        <v>167</v>
      </c>
      <c r="G523">
        <v>4</v>
      </c>
      <c r="H523">
        <v>2603.04</v>
      </c>
      <c r="I523">
        <v>0</v>
      </c>
      <c r="J523">
        <v>10412.16</v>
      </c>
      <c r="K523">
        <v>2539.92</v>
      </c>
      <c r="L523">
        <v>4.1</v>
      </c>
      <c r="M523" s="53">
        <v>45017</v>
      </c>
      <c r="N523" t="s">
        <v>30</v>
      </c>
      <c r="O523" t="s">
        <v>31</v>
      </c>
      <c r="P523" s="54">
        <v>0.243937857274571</v>
      </c>
    </row>
    <row r="524" spans="1:16">
      <c r="A524" t="s">
        <v>1530</v>
      </c>
      <c r="B524" t="s">
        <v>645</v>
      </c>
      <c r="C524" t="s">
        <v>1531</v>
      </c>
      <c r="D524" t="s">
        <v>27</v>
      </c>
      <c r="E524" t="s">
        <v>117</v>
      </c>
      <c r="F524" t="s">
        <v>225</v>
      </c>
      <c r="G524">
        <v>3</v>
      </c>
      <c r="H524">
        <v>19732.91</v>
      </c>
      <c r="I524">
        <v>0.2</v>
      </c>
      <c r="J524">
        <v>47358.98</v>
      </c>
      <c r="K524">
        <v>9792.86</v>
      </c>
      <c r="L524">
        <v>3.9</v>
      </c>
      <c r="M524" s="53">
        <v>45571</v>
      </c>
      <c r="N524" t="s">
        <v>56</v>
      </c>
      <c r="O524" t="s">
        <v>73</v>
      </c>
      <c r="P524" s="54">
        <v>0.206779368981342</v>
      </c>
    </row>
    <row r="525" spans="1:16">
      <c r="A525" t="s">
        <v>1532</v>
      </c>
      <c r="B525" t="s">
        <v>1533</v>
      </c>
      <c r="C525" t="s">
        <v>1534</v>
      </c>
      <c r="D525" t="s">
        <v>19</v>
      </c>
      <c r="E525" t="s">
        <v>35</v>
      </c>
      <c r="F525" t="s">
        <v>121</v>
      </c>
      <c r="G525">
        <v>5</v>
      </c>
      <c r="H525">
        <v>10491.21</v>
      </c>
      <c r="I525">
        <v>0.05</v>
      </c>
      <c r="J525">
        <v>49833.25</v>
      </c>
      <c r="K525">
        <v>5974.34</v>
      </c>
      <c r="L525">
        <v>1.1</v>
      </c>
      <c r="M525" s="53">
        <v>45490</v>
      </c>
      <c r="N525" t="s">
        <v>22</v>
      </c>
      <c r="O525" t="s">
        <v>57</v>
      </c>
      <c r="P525" s="54">
        <v>0.119886621883983</v>
      </c>
    </row>
    <row r="526" spans="1:16">
      <c r="A526" t="s">
        <v>1535</v>
      </c>
      <c r="B526" t="s">
        <v>366</v>
      </c>
      <c r="C526" t="s">
        <v>1536</v>
      </c>
      <c r="D526" t="s">
        <v>53</v>
      </c>
      <c r="E526" t="s">
        <v>54</v>
      </c>
      <c r="F526" t="s">
        <v>109</v>
      </c>
      <c r="G526">
        <v>5</v>
      </c>
      <c r="H526">
        <v>14798.59</v>
      </c>
      <c r="I526">
        <v>0</v>
      </c>
      <c r="J526">
        <v>73992.95</v>
      </c>
      <c r="K526">
        <v>9019.04</v>
      </c>
      <c r="L526">
        <v>1.2</v>
      </c>
      <c r="M526" s="53">
        <v>44960</v>
      </c>
      <c r="N526" t="s">
        <v>43</v>
      </c>
      <c r="O526" t="s">
        <v>57</v>
      </c>
      <c r="P526" s="54">
        <v>0.121890531462795</v>
      </c>
    </row>
    <row r="527" spans="1:16">
      <c r="A527" t="s">
        <v>1537</v>
      </c>
      <c r="B527" t="s">
        <v>1191</v>
      </c>
      <c r="C527" t="s">
        <v>1538</v>
      </c>
      <c r="D527" t="s">
        <v>27</v>
      </c>
      <c r="E527" t="s">
        <v>233</v>
      </c>
      <c r="F527" t="s">
        <v>606</v>
      </c>
      <c r="G527">
        <v>2</v>
      </c>
      <c r="H527">
        <v>543.72</v>
      </c>
      <c r="I527">
        <v>0.15</v>
      </c>
      <c r="J527">
        <v>924.32</v>
      </c>
      <c r="K527">
        <v>110.82</v>
      </c>
      <c r="L527">
        <v>3.8</v>
      </c>
      <c r="M527" s="53">
        <v>45546</v>
      </c>
      <c r="N527" t="s">
        <v>22</v>
      </c>
      <c r="O527" t="s">
        <v>57</v>
      </c>
      <c r="P527" s="54">
        <v>0.119893543361606</v>
      </c>
    </row>
    <row r="528" spans="1:16">
      <c r="A528" t="s">
        <v>1539</v>
      </c>
      <c r="B528" t="s">
        <v>1540</v>
      </c>
      <c r="C528" t="s">
        <v>1541</v>
      </c>
      <c r="D528" t="s">
        <v>53</v>
      </c>
      <c r="E528" t="s">
        <v>54</v>
      </c>
      <c r="F528" t="s">
        <v>258</v>
      </c>
      <c r="G528">
        <v>5</v>
      </c>
      <c r="H528">
        <v>5392.48</v>
      </c>
      <c r="I528">
        <v>0.2</v>
      </c>
      <c r="J528">
        <v>21569.92</v>
      </c>
      <c r="K528">
        <v>3728.65</v>
      </c>
      <c r="L528">
        <v>4</v>
      </c>
      <c r="M528" s="53">
        <v>45479</v>
      </c>
      <c r="N528" t="s">
        <v>56</v>
      </c>
      <c r="O528" t="s">
        <v>73</v>
      </c>
      <c r="P528" s="54">
        <v>0.172863413494348</v>
      </c>
    </row>
    <row r="529" spans="1:16">
      <c r="A529" t="s">
        <v>1542</v>
      </c>
      <c r="B529" t="s">
        <v>1543</v>
      </c>
      <c r="C529" t="s">
        <v>1544</v>
      </c>
      <c r="D529" t="s">
        <v>19</v>
      </c>
      <c r="E529" t="s">
        <v>86</v>
      </c>
      <c r="F529" t="s">
        <v>87</v>
      </c>
      <c r="G529">
        <v>2</v>
      </c>
      <c r="H529">
        <v>2362.66</v>
      </c>
      <c r="I529">
        <v>0.2</v>
      </c>
      <c r="J529">
        <v>3780.26</v>
      </c>
      <c r="K529">
        <v>803.75</v>
      </c>
      <c r="L529">
        <v>1.9</v>
      </c>
      <c r="M529" s="53">
        <v>45494</v>
      </c>
      <c r="N529" t="s">
        <v>56</v>
      </c>
      <c r="O529" t="s">
        <v>57</v>
      </c>
      <c r="P529" s="54">
        <v>0.212617650637787</v>
      </c>
    </row>
    <row r="530" spans="1:16">
      <c r="A530" t="s">
        <v>1545</v>
      </c>
      <c r="B530" t="s">
        <v>826</v>
      </c>
      <c r="C530" t="s">
        <v>1546</v>
      </c>
      <c r="D530" t="s">
        <v>53</v>
      </c>
      <c r="E530" t="s">
        <v>71</v>
      </c>
      <c r="F530" t="s">
        <v>150</v>
      </c>
      <c r="G530">
        <v>4</v>
      </c>
      <c r="H530">
        <v>1475.26</v>
      </c>
      <c r="I530">
        <v>0</v>
      </c>
      <c r="J530">
        <v>5901.04</v>
      </c>
      <c r="K530">
        <v>639.55</v>
      </c>
      <c r="L530">
        <v>4.7</v>
      </c>
      <c r="M530" s="53">
        <v>45154</v>
      </c>
      <c r="N530" t="s">
        <v>56</v>
      </c>
      <c r="O530" t="s">
        <v>31</v>
      </c>
      <c r="P530" s="54">
        <v>0.108379200954408</v>
      </c>
    </row>
    <row r="531" spans="1:16">
      <c r="A531" t="s">
        <v>1547</v>
      </c>
      <c r="B531" t="s">
        <v>1548</v>
      </c>
      <c r="C531" t="s">
        <v>1549</v>
      </c>
      <c r="D531" t="s">
        <v>40</v>
      </c>
      <c r="E531" t="s">
        <v>81</v>
      </c>
      <c r="F531" t="s">
        <v>241</v>
      </c>
      <c r="G531">
        <v>4</v>
      </c>
      <c r="H531">
        <v>14768.99</v>
      </c>
      <c r="I531">
        <v>0.1</v>
      </c>
      <c r="J531">
        <v>53168.36</v>
      </c>
      <c r="K531">
        <v>12900.66</v>
      </c>
      <c r="L531">
        <v>5</v>
      </c>
      <c r="M531" s="53">
        <v>45003</v>
      </c>
      <c r="N531" t="s">
        <v>43</v>
      </c>
      <c r="O531" t="s">
        <v>23</v>
      </c>
      <c r="P531" s="54">
        <v>0.242637914729738</v>
      </c>
    </row>
    <row r="532" spans="1:16">
      <c r="A532" t="s">
        <v>1550</v>
      </c>
      <c r="B532" t="s">
        <v>1551</v>
      </c>
      <c r="C532" t="s">
        <v>1552</v>
      </c>
      <c r="D532" t="s">
        <v>19</v>
      </c>
      <c r="E532" t="s">
        <v>20</v>
      </c>
      <c r="F532" t="s">
        <v>134</v>
      </c>
      <c r="G532">
        <v>3</v>
      </c>
      <c r="H532">
        <v>12088.15</v>
      </c>
      <c r="I532">
        <v>0.1</v>
      </c>
      <c r="J532">
        <v>32638</v>
      </c>
      <c r="K532">
        <v>2195.37</v>
      </c>
      <c r="L532">
        <v>4.8</v>
      </c>
      <c r="M532" s="53">
        <v>44944</v>
      </c>
      <c r="N532" t="s">
        <v>56</v>
      </c>
      <c r="O532" t="s">
        <v>73</v>
      </c>
      <c r="P532" s="54">
        <v>0.0672642318769532</v>
      </c>
    </row>
    <row r="533" spans="1:16">
      <c r="A533" t="s">
        <v>1553</v>
      </c>
      <c r="B533" t="s">
        <v>965</v>
      </c>
      <c r="C533" t="s">
        <v>1554</v>
      </c>
      <c r="D533" t="s">
        <v>53</v>
      </c>
      <c r="E533" t="s">
        <v>100</v>
      </c>
      <c r="F533" t="s">
        <v>267</v>
      </c>
      <c r="G533">
        <v>1</v>
      </c>
      <c r="H533">
        <v>10152.16</v>
      </c>
      <c r="I533">
        <v>0.2</v>
      </c>
      <c r="J533">
        <v>8121.73</v>
      </c>
      <c r="K533">
        <v>504.34</v>
      </c>
      <c r="L533">
        <v>1.7</v>
      </c>
      <c r="M533" s="53">
        <v>45001</v>
      </c>
      <c r="N533" t="s">
        <v>22</v>
      </c>
      <c r="O533" t="s">
        <v>31</v>
      </c>
      <c r="P533" s="54">
        <v>0.0620976072831773</v>
      </c>
    </row>
    <row r="534" spans="1:16">
      <c r="A534" t="s">
        <v>1555</v>
      </c>
      <c r="B534" t="s">
        <v>1556</v>
      </c>
      <c r="C534" t="s">
        <v>1557</v>
      </c>
      <c r="D534" t="s">
        <v>19</v>
      </c>
      <c r="E534" t="s">
        <v>20</v>
      </c>
      <c r="F534" t="s">
        <v>121</v>
      </c>
      <c r="G534">
        <v>2</v>
      </c>
      <c r="H534">
        <v>18199.28</v>
      </c>
      <c r="I534">
        <v>0.1</v>
      </c>
      <c r="J534">
        <v>32758.7</v>
      </c>
      <c r="K534">
        <v>7118.88</v>
      </c>
      <c r="L534">
        <v>2.2</v>
      </c>
      <c r="M534" s="53">
        <v>45475</v>
      </c>
      <c r="N534" t="s">
        <v>43</v>
      </c>
      <c r="O534" t="s">
        <v>31</v>
      </c>
      <c r="P534" s="54">
        <v>0.217312652821998</v>
      </c>
    </row>
    <row r="535" spans="1:16">
      <c r="A535" t="s">
        <v>1558</v>
      </c>
      <c r="B535" t="s">
        <v>990</v>
      </c>
      <c r="C535" t="s">
        <v>1559</v>
      </c>
      <c r="D535" t="s">
        <v>19</v>
      </c>
      <c r="E535" t="s">
        <v>35</v>
      </c>
      <c r="F535" t="s">
        <v>121</v>
      </c>
      <c r="G535">
        <v>4</v>
      </c>
      <c r="H535">
        <v>9209.48</v>
      </c>
      <c r="I535">
        <v>0.2</v>
      </c>
      <c r="J535">
        <v>29470.34</v>
      </c>
      <c r="K535">
        <v>3499.89</v>
      </c>
      <c r="L535">
        <v>3.4</v>
      </c>
      <c r="M535" s="53">
        <v>45275</v>
      </c>
      <c r="N535" t="s">
        <v>43</v>
      </c>
      <c r="O535" t="s">
        <v>23</v>
      </c>
      <c r="P535" s="54">
        <v>0.118759742846536</v>
      </c>
    </row>
    <row r="536" spans="1:16">
      <c r="A536" t="s">
        <v>1560</v>
      </c>
      <c r="B536" t="s">
        <v>685</v>
      </c>
      <c r="C536" t="s">
        <v>1561</v>
      </c>
      <c r="D536" t="s">
        <v>40</v>
      </c>
      <c r="E536" t="s">
        <v>174</v>
      </c>
      <c r="F536" t="s">
        <v>175</v>
      </c>
      <c r="G536">
        <v>2</v>
      </c>
      <c r="H536">
        <v>11268.55</v>
      </c>
      <c r="I536">
        <v>0.2</v>
      </c>
      <c r="J536">
        <v>18029.68</v>
      </c>
      <c r="K536">
        <v>3912.56</v>
      </c>
      <c r="L536">
        <v>2.3</v>
      </c>
      <c r="M536" s="53">
        <v>45289</v>
      </c>
      <c r="N536" t="s">
        <v>56</v>
      </c>
      <c r="O536" t="s">
        <v>23</v>
      </c>
      <c r="P536" s="54">
        <v>0.217006624632273</v>
      </c>
    </row>
    <row r="537" spans="1:16">
      <c r="A537" t="s">
        <v>1562</v>
      </c>
      <c r="B537" t="s">
        <v>1563</v>
      </c>
      <c r="C537" t="s">
        <v>1564</v>
      </c>
      <c r="D537" t="s">
        <v>19</v>
      </c>
      <c r="E537" t="s">
        <v>86</v>
      </c>
      <c r="F537" t="s">
        <v>320</v>
      </c>
      <c r="G537">
        <v>4</v>
      </c>
      <c r="H537">
        <v>10477.58</v>
      </c>
      <c r="I537">
        <v>0.2</v>
      </c>
      <c r="J537">
        <v>33528.26</v>
      </c>
      <c r="K537">
        <v>3365.91</v>
      </c>
      <c r="L537">
        <v>1.4</v>
      </c>
      <c r="M537" s="53">
        <v>45541</v>
      </c>
      <c r="N537" t="s">
        <v>56</v>
      </c>
      <c r="O537" t="s">
        <v>23</v>
      </c>
      <c r="P537" s="54">
        <v>0.10039023796642</v>
      </c>
    </row>
    <row r="538" spans="1:16">
      <c r="A538" t="s">
        <v>1565</v>
      </c>
      <c r="B538" t="s">
        <v>1566</v>
      </c>
      <c r="C538" t="s">
        <v>1567</v>
      </c>
      <c r="D538" t="s">
        <v>53</v>
      </c>
      <c r="E538" t="s">
        <v>54</v>
      </c>
      <c r="F538" t="s">
        <v>109</v>
      </c>
      <c r="G538">
        <v>1</v>
      </c>
      <c r="H538">
        <v>10566.39</v>
      </c>
      <c r="I538">
        <v>0</v>
      </c>
      <c r="J538">
        <v>10566.39</v>
      </c>
      <c r="K538">
        <v>1069.6</v>
      </c>
      <c r="L538">
        <v>3.4</v>
      </c>
      <c r="M538" s="53">
        <v>44975</v>
      </c>
      <c r="N538" t="s">
        <v>30</v>
      </c>
      <c r="O538" t="s">
        <v>23</v>
      </c>
      <c r="P538" s="54">
        <v>0.101226625176621</v>
      </c>
    </row>
    <row r="539" spans="1:16">
      <c r="A539" t="s">
        <v>1568</v>
      </c>
      <c r="B539" t="s">
        <v>1569</v>
      </c>
      <c r="C539" t="s">
        <v>1570</v>
      </c>
      <c r="D539" t="s">
        <v>19</v>
      </c>
      <c r="E539" t="s">
        <v>86</v>
      </c>
      <c r="F539" t="s">
        <v>113</v>
      </c>
      <c r="G539">
        <v>1</v>
      </c>
      <c r="H539">
        <v>5256.15</v>
      </c>
      <c r="I539">
        <v>0.2</v>
      </c>
      <c r="J539">
        <v>4204.92</v>
      </c>
      <c r="K539">
        <v>913.32</v>
      </c>
      <c r="L539">
        <v>2</v>
      </c>
      <c r="M539" s="53">
        <v>45478</v>
      </c>
      <c r="N539" t="s">
        <v>43</v>
      </c>
      <c r="O539" t="s">
        <v>44</v>
      </c>
      <c r="P539" s="54">
        <v>0.217202705402243</v>
      </c>
    </row>
    <row r="540" spans="1:16">
      <c r="A540" t="s">
        <v>1571</v>
      </c>
      <c r="B540" t="s">
        <v>194</v>
      </c>
      <c r="C540" t="s">
        <v>1572</v>
      </c>
      <c r="D540" t="s">
        <v>27</v>
      </c>
      <c r="E540" t="s">
        <v>117</v>
      </c>
      <c r="F540" t="s">
        <v>118</v>
      </c>
      <c r="G540">
        <v>1</v>
      </c>
      <c r="H540">
        <v>17891.87</v>
      </c>
      <c r="I540">
        <v>0.05</v>
      </c>
      <c r="J540">
        <v>16997.28</v>
      </c>
      <c r="K540">
        <v>3963.22</v>
      </c>
      <c r="L540">
        <v>3.8</v>
      </c>
      <c r="M540" s="53">
        <v>45370</v>
      </c>
      <c r="N540" t="s">
        <v>22</v>
      </c>
      <c r="O540" t="s">
        <v>73</v>
      </c>
      <c r="P540" s="54">
        <v>0.23316789509851</v>
      </c>
    </row>
    <row r="541" spans="1:16">
      <c r="A541" t="s">
        <v>1573</v>
      </c>
      <c r="B541" t="s">
        <v>1574</v>
      </c>
      <c r="C541" t="s">
        <v>1575</v>
      </c>
      <c r="D541" t="s">
        <v>40</v>
      </c>
      <c r="E541" t="s">
        <v>262</v>
      </c>
      <c r="F541" t="s">
        <v>385</v>
      </c>
      <c r="G541">
        <v>4</v>
      </c>
      <c r="H541">
        <v>11380.89</v>
      </c>
      <c r="I541">
        <v>0.15</v>
      </c>
      <c r="J541">
        <v>38695.03</v>
      </c>
      <c r="K541">
        <v>5061.36</v>
      </c>
      <c r="L541">
        <v>1.7</v>
      </c>
      <c r="M541" s="53">
        <v>45321</v>
      </c>
      <c r="N541" t="s">
        <v>30</v>
      </c>
      <c r="O541" t="s">
        <v>73</v>
      </c>
      <c r="P541" s="54">
        <v>0.130801294119684</v>
      </c>
    </row>
    <row r="542" spans="1:16">
      <c r="A542" t="s">
        <v>1576</v>
      </c>
      <c r="B542" t="s">
        <v>1577</v>
      </c>
      <c r="C542" t="s">
        <v>1578</v>
      </c>
      <c r="D542" t="s">
        <v>19</v>
      </c>
      <c r="E542" t="s">
        <v>20</v>
      </c>
      <c r="F542" t="s">
        <v>21</v>
      </c>
      <c r="G542">
        <v>3</v>
      </c>
      <c r="H542">
        <v>6203.04</v>
      </c>
      <c r="I542">
        <v>0.05</v>
      </c>
      <c r="J542">
        <v>17678.66</v>
      </c>
      <c r="K542">
        <v>2172.61</v>
      </c>
      <c r="L542">
        <v>2.5</v>
      </c>
      <c r="M542" s="53">
        <v>45013</v>
      </c>
      <c r="N542" t="s">
        <v>56</v>
      </c>
      <c r="O542" t="s">
        <v>44</v>
      </c>
      <c r="P542" s="54">
        <v>0.122894495397276</v>
      </c>
    </row>
    <row r="543" spans="1:16">
      <c r="A543" t="s">
        <v>1579</v>
      </c>
      <c r="B543" t="s">
        <v>1338</v>
      </c>
      <c r="C543" t="s">
        <v>1580</v>
      </c>
      <c r="D543" t="s">
        <v>53</v>
      </c>
      <c r="E543" t="s">
        <v>54</v>
      </c>
      <c r="F543" t="s">
        <v>249</v>
      </c>
      <c r="G543">
        <v>3</v>
      </c>
      <c r="H543">
        <v>5825.15</v>
      </c>
      <c r="I543">
        <v>0.05</v>
      </c>
      <c r="J543">
        <v>16601.68</v>
      </c>
      <c r="K543">
        <v>1166.47</v>
      </c>
      <c r="L543">
        <v>3.5</v>
      </c>
      <c r="M543" s="53">
        <v>45488</v>
      </c>
      <c r="N543" t="s">
        <v>56</v>
      </c>
      <c r="O543" t="s">
        <v>31</v>
      </c>
      <c r="P543" s="54">
        <v>0.0702621662385975</v>
      </c>
    </row>
    <row r="544" spans="1:16">
      <c r="A544" t="s">
        <v>1581</v>
      </c>
      <c r="B544" t="s">
        <v>1582</v>
      </c>
      <c r="C544" t="s">
        <v>1583</v>
      </c>
      <c r="D544" t="s">
        <v>27</v>
      </c>
      <c r="E544" t="s">
        <v>48</v>
      </c>
      <c r="F544" t="s">
        <v>49</v>
      </c>
      <c r="G544">
        <v>5</v>
      </c>
      <c r="H544">
        <v>8140.23</v>
      </c>
      <c r="I544">
        <v>0.05</v>
      </c>
      <c r="J544">
        <v>38666.09</v>
      </c>
      <c r="K544">
        <v>7431.27</v>
      </c>
      <c r="L544">
        <v>3.4</v>
      </c>
      <c r="M544" s="53">
        <v>45067</v>
      </c>
      <c r="N544" t="s">
        <v>22</v>
      </c>
      <c r="O544" t="s">
        <v>44</v>
      </c>
      <c r="P544" s="54">
        <v>0.192190883536453</v>
      </c>
    </row>
    <row r="545" spans="1:16">
      <c r="A545" t="s">
        <v>1584</v>
      </c>
      <c r="B545" t="s">
        <v>1585</v>
      </c>
      <c r="C545" t="s">
        <v>1586</v>
      </c>
      <c r="D545" t="s">
        <v>27</v>
      </c>
      <c r="E545" t="s">
        <v>117</v>
      </c>
      <c r="F545" t="s">
        <v>192</v>
      </c>
      <c r="G545">
        <v>4</v>
      </c>
      <c r="H545">
        <v>5090.36</v>
      </c>
      <c r="I545">
        <v>0.05</v>
      </c>
      <c r="J545">
        <v>19343.37</v>
      </c>
      <c r="K545">
        <v>1757.77</v>
      </c>
      <c r="L545">
        <v>2.7</v>
      </c>
      <c r="M545" s="53">
        <v>45313</v>
      </c>
      <c r="N545" t="s">
        <v>22</v>
      </c>
      <c r="O545" t="s">
        <v>73</v>
      </c>
      <c r="P545" s="54">
        <v>0.0908719628482524</v>
      </c>
    </row>
    <row r="546" spans="1:16">
      <c r="A546" t="s">
        <v>1587</v>
      </c>
      <c r="B546" t="s">
        <v>883</v>
      </c>
      <c r="C546" t="s">
        <v>1588</v>
      </c>
      <c r="D546" t="s">
        <v>40</v>
      </c>
      <c r="E546" t="s">
        <v>81</v>
      </c>
      <c r="F546" t="s">
        <v>263</v>
      </c>
      <c r="G546">
        <v>4</v>
      </c>
      <c r="H546">
        <v>13248.22</v>
      </c>
      <c r="I546">
        <v>0.2</v>
      </c>
      <c r="J546">
        <v>42394.3</v>
      </c>
      <c r="K546">
        <v>3575.51</v>
      </c>
      <c r="L546">
        <v>4.2</v>
      </c>
      <c r="M546" s="53">
        <v>45277</v>
      </c>
      <c r="N546" t="s">
        <v>43</v>
      </c>
      <c r="O546" t="s">
        <v>44</v>
      </c>
      <c r="P546" s="54">
        <v>0.0843394041180064</v>
      </c>
    </row>
    <row r="547" spans="1:16">
      <c r="A547" t="s">
        <v>1589</v>
      </c>
      <c r="B547" t="s">
        <v>1590</v>
      </c>
      <c r="C547" t="s">
        <v>1591</v>
      </c>
      <c r="D547" t="s">
        <v>19</v>
      </c>
      <c r="E547" t="s">
        <v>20</v>
      </c>
      <c r="F547" t="s">
        <v>454</v>
      </c>
      <c r="G547">
        <v>5</v>
      </c>
      <c r="H547">
        <v>9087.7</v>
      </c>
      <c r="I547">
        <v>0.05</v>
      </c>
      <c r="J547">
        <v>43166.57</v>
      </c>
      <c r="K547">
        <v>5288.57</v>
      </c>
      <c r="L547">
        <v>3.8</v>
      </c>
      <c r="M547" s="53">
        <v>45356</v>
      </c>
      <c r="N547" t="s">
        <v>30</v>
      </c>
      <c r="O547" t="s">
        <v>23</v>
      </c>
      <c r="P547" s="54">
        <v>0.122515409493967</v>
      </c>
    </row>
    <row r="548" spans="1:16">
      <c r="A548" t="s">
        <v>1592</v>
      </c>
      <c r="B548" t="s">
        <v>604</v>
      </c>
      <c r="C548" t="s">
        <v>1593</v>
      </c>
      <c r="D548" t="s">
        <v>27</v>
      </c>
      <c r="E548" t="s">
        <v>28</v>
      </c>
      <c r="F548" t="s">
        <v>105</v>
      </c>
      <c r="G548">
        <v>3</v>
      </c>
      <c r="H548">
        <v>17059.41</v>
      </c>
      <c r="I548">
        <v>0.15</v>
      </c>
      <c r="J548">
        <v>43501.5</v>
      </c>
      <c r="K548">
        <v>8273.85</v>
      </c>
      <c r="L548">
        <v>3.5</v>
      </c>
      <c r="M548" s="53">
        <v>45263</v>
      </c>
      <c r="N548" t="s">
        <v>22</v>
      </c>
      <c r="O548" t="s">
        <v>23</v>
      </c>
      <c r="P548" s="54">
        <v>0.190196889762422</v>
      </c>
    </row>
    <row r="549" spans="1:16">
      <c r="A549" t="s">
        <v>1594</v>
      </c>
      <c r="B549" t="s">
        <v>1595</v>
      </c>
      <c r="C549" t="s">
        <v>1596</v>
      </c>
      <c r="D549" t="s">
        <v>40</v>
      </c>
      <c r="E549" t="s">
        <v>174</v>
      </c>
      <c r="F549" t="s">
        <v>202</v>
      </c>
      <c r="G549">
        <v>1</v>
      </c>
      <c r="H549">
        <v>6030.68</v>
      </c>
      <c r="I549">
        <v>0.15</v>
      </c>
      <c r="J549">
        <v>5126.08</v>
      </c>
      <c r="K549">
        <v>514.26</v>
      </c>
      <c r="L549">
        <v>3.7</v>
      </c>
      <c r="M549" s="53">
        <v>45319</v>
      </c>
      <c r="N549" t="s">
        <v>56</v>
      </c>
      <c r="O549" t="s">
        <v>44</v>
      </c>
      <c r="P549" s="54">
        <v>0.100322273550159</v>
      </c>
    </row>
    <row r="550" spans="1:16">
      <c r="A550" t="s">
        <v>1597</v>
      </c>
      <c r="B550" t="s">
        <v>1598</v>
      </c>
      <c r="C550" t="s">
        <v>1599</v>
      </c>
      <c r="D550" t="s">
        <v>27</v>
      </c>
      <c r="E550" t="s">
        <v>233</v>
      </c>
      <c r="F550" t="s">
        <v>665</v>
      </c>
      <c r="G550">
        <v>1</v>
      </c>
      <c r="H550">
        <v>9759.77</v>
      </c>
      <c r="I550">
        <v>0</v>
      </c>
      <c r="J550">
        <v>9759.77</v>
      </c>
      <c r="K550">
        <v>1686.29</v>
      </c>
      <c r="L550">
        <v>2.9</v>
      </c>
      <c r="M550" s="53">
        <v>45531</v>
      </c>
      <c r="N550" t="s">
        <v>43</v>
      </c>
      <c r="O550" t="s">
        <v>73</v>
      </c>
      <c r="P550" s="54">
        <v>0.172779686406544</v>
      </c>
    </row>
    <row r="551" spans="1:16">
      <c r="A551" t="s">
        <v>1600</v>
      </c>
      <c r="B551" t="s">
        <v>217</v>
      </c>
      <c r="C551" t="s">
        <v>1601</v>
      </c>
      <c r="D551" t="s">
        <v>53</v>
      </c>
      <c r="E551" t="s">
        <v>100</v>
      </c>
      <c r="F551" t="s">
        <v>271</v>
      </c>
      <c r="G551">
        <v>2</v>
      </c>
      <c r="H551">
        <v>18052.14</v>
      </c>
      <c r="I551">
        <v>0.15</v>
      </c>
      <c r="J551">
        <v>30688.64</v>
      </c>
      <c r="K551">
        <v>3774.43</v>
      </c>
      <c r="L551">
        <v>2.3</v>
      </c>
      <c r="M551" s="53">
        <v>45065</v>
      </c>
      <c r="N551" t="s">
        <v>56</v>
      </c>
      <c r="O551" t="s">
        <v>31</v>
      </c>
      <c r="P551" s="54">
        <v>0.122991113324018</v>
      </c>
    </row>
    <row r="552" spans="1:16">
      <c r="A552" t="s">
        <v>1602</v>
      </c>
      <c r="B552" t="s">
        <v>1603</v>
      </c>
      <c r="C552" t="s">
        <v>1604</v>
      </c>
      <c r="D552" t="s">
        <v>19</v>
      </c>
      <c r="E552" t="s">
        <v>20</v>
      </c>
      <c r="F552" t="s">
        <v>121</v>
      </c>
      <c r="G552">
        <v>5</v>
      </c>
      <c r="H552">
        <v>2818.24</v>
      </c>
      <c r="I552">
        <v>0</v>
      </c>
      <c r="J552">
        <v>14091.2</v>
      </c>
      <c r="K552">
        <v>3374.13</v>
      </c>
      <c r="L552">
        <v>2.3</v>
      </c>
      <c r="M552" s="53">
        <v>45366</v>
      </c>
      <c r="N552" t="s">
        <v>56</v>
      </c>
      <c r="O552" t="s">
        <v>73</v>
      </c>
      <c r="P552" s="54">
        <v>0.23944944362439</v>
      </c>
    </row>
    <row r="553" spans="1:16">
      <c r="A553" t="s">
        <v>1605</v>
      </c>
      <c r="B553" t="s">
        <v>308</v>
      </c>
      <c r="C553" t="s">
        <v>1606</v>
      </c>
      <c r="D553" t="s">
        <v>40</v>
      </c>
      <c r="E553" t="s">
        <v>174</v>
      </c>
      <c r="F553" t="s">
        <v>313</v>
      </c>
      <c r="G553">
        <v>3</v>
      </c>
      <c r="H553">
        <v>2050.12</v>
      </c>
      <c r="I553">
        <v>0</v>
      </c>
      <c r="J553">
        <v>6150.36</v>
      </c>
      <c r="K553">
        <v>485.37</v>
      </c>
      <c r="L553">
        <v>1.6</v>
      </c>
      <c r="M553" s="53">
        <v>45142</v>
      </c>
      <c r="N553" t="s">
        <v>22</v>
      </c>
      <c r="O553" t="s">
        <v>73</v>
      </c>
      <c r="P553" s="54">
        <v>0.0789173316683901</v>
      </c>
    </row>
    <row r="554" spans="1:16">
      <c r="A554" t="s">
        <v>1607</v>
      </c>
      <c r="B554" t="s">
        <v>1608</v>
      </c>
      <c r="C554" t="s">
        <v>1609</v>
      </c>
      <c r="D554" t="s">
        <v>19</v>
      </c>
      <c r="E554" t="s">
        <v>86</v>
      </c>
      <c r="F554" t="s">
        <v>113</v>
      </c>
      <c r="G554">
        <v>4</v>
      </c>
      <c r="H554">
        <v>10459.48</v>
      </c>
      <c r="I554">
        <v>0</v>
      </c>
      <c r="J554">
        <v>41837.92</v>
      </c>
      <c r="K554">
        <v>9508.58</v>
      </c>
      <c r="L554">
        <v>4.1</v>
      </c>
      <c r="M554" s="53">
        <v>45411</v>
      </c>
      <c r="N554" t="s">
        <v>30</v>
      </c>
      <c r="O554" t="s">
        <v>73</v>
      </c>
      <c r="P554" s="54">
        <v>0.227271814660002</v>
      </c>
    </row>
    <row r="555" spans="1:16">
      <c r="A555" t="s">
        <v>1610</v>
      </c>
      <c r="B555" t="s">
        <v>1611</v>
      </c>
      <c r="C555" t="s">
        <v>1612</v>
      </c>
      <c r="D555" t="s">
        <v>27</v>
      </c>
      <c r="E555" t="s">
        <v>233</v>
      </c>
      <c r="F555" t="s">
        <v>606</v>
      </c>
      <c r="G555">
        <v>1</v>
      </c>
      <c r="H555">
        <v>3379.75</v>
      </c>
      <c r="I555">
        <v>0.1</v>
      </c>
      <c r="J555">
        <v>3041.78</v>
      </c>
      <c r="K555">
        <v>646.55</v>
      </c>
      <c r="L555">
        <v>3.1</v>
      </c>
      <c r="M555" s="53">
        <v>45409</v>
      </c>
      <c r="N555" t="s">
        <v>22</v>
      </c>
      <c r="O555" t="s">
        <v>57</v>
      </c>
      <c r="P555" s="54">
        <v>0.212556463649574</v>
      </c>
    </row>
    <row r="556" spans="1:16">
      <c r="A556" t="s">
        <v>1613</v>
      </c>
      <c r="B556" t="s">
        <v>1421</v>
      </c>
      <c r="C556" t="s">
        <v>1614</v>
      </c>
      <c r="D556" t="s">
        <v>27</v>
      </c>
      <c r="E556" t="s">
        <v>48</v>
      </c>
      <c r="F556" t="s">
        <v>77</v>
      </c>
      <c r="G556">
        <v>2</v>
      </c>
      <c r="H556">
        <v>15686.34</v>
      </c>
      <c r="I556">
        <v>0.1</v>
      </c>
      <c r="J556">
        <v>28235.41</v>
      </c>
      <c r="K556">
        <v>4012.68</v>
      </c>
      <c r="L556">
        <v>4</v>
      </c>
      <c r="M556" s="53">
        <v>45510</v>
      </c>
      <c r="N556" t="s">
        <v>30</v>
      </c>
      <c r="O556" t="s">
        <v>23</v>
      </c>
      <c r="P556" s="54">
        <v>0.14211516673567</v>
      </c>
    </row>
    <row r="557" spans="1:16">
      <c r="A557" t="s">
        <v>1615</v>
      </c>
      <c r="B557" t="s">
        <v>239</v>
      </c>
      <c r="C557" t="s">
        <v>1616</v>
      </c>
      <c r="D557" t="s">
        <v>27</v>
      </c>
      <c r="E557" t="s">
        <v>233</v>
      </c>
      <c r="F557" t="s">
        <v>606</v>
      </c>
      <c r="G557">
        <v>4</v>
      </c>
      <c r="H557">
        <v>4163.73</v>
      </c>
      <c r="I557">
        <v>0.2</v>
      </c>
      <c r="J557">
        <v>13323.94</v>
      </c>
      <c r="K557">
        <v>2845.06</v>
      </c>
      <c r="L557">
        <v>2</v>
      </c>
      <c r="M557" s="53">
        <v>45558</v>
      </c>
      <c r="N557" t="s">
        <v>30</v>
      </c>
      <c r="O557" t="s">
        <v>57</v>
      </c>
      <c r="P557" s="54">
        <v>0.213529931836979</v>
      </c>
    </row>
    <row r="558" spans="1:16">
      <c r="A558" t="s">
        <v>1617</v>
      </c>
      <c r="B558" t="s">
        <v>311</v>
      </c>
      <c r="C558" t="s">
        <v>1618</v>
      </c>
      <c r="D558" t="s">
        <v>19</v>
      </c>
      <c r="E558" t="s">
        <v>20</v>
      </c>
      <c r="F558" t="s">
        <v>134</v>
      </c>
      <c r="G558">
        <v>5</v>
      </c>
      <c r="H558">
        <v>11608.33</v>
      </c>
      <c r="I558">
        <v>0</v>
      </c>
      <c r="J558">
        <v>58041.65</v>
      </c>
      <c r="K558">
        <v>9348.08</v>
      </c>
      <c r="L558">
        <v>1.1</v>
      </c>
      <c r="M558" s="53">
        <v>45242</v>
      </c>
      <c r="N558" t="s">
        <v>43</v>
      </c>
      <c r="O558" t="s">
        <v>44</v>
      </c>
      <c r="P558" s="54">
        <v>0.161058136700111</v>
      </c>
    </row>
    <row r="559" spans="1:16">
      <c r="A559" t="s">
        <v>1619</v>
      </c>
      <c r="B559" t="s">
        <v>1211</v>
      </c>
      <c r="C559" t="s">
        <v>1620</v>
      </c>
      <c r="D559" t="s">
        <v>53</v>
      </c>
      <c r="E559" t="s">
        <v>100</v>
      </c>
      <c r="F559" t="s">
        <v>229</v>
      </c>
      <c r="G559">
        <v>5</v>
      </c>
      <c r="H559">
        <v>16914</v>
      </c>
      <c r="I559">
        <v>0.2</v>
      </c>
      <c r="J559">
        <v>67656</v>
      </c>
      <c r="K559">
        <v>11940.1</v>
      </c>
      <c r="L559">
        <v>3.4</v>
      </c>
      <c r="M559" s="53">
        <v>45317</v>
      </c>
      <c r="N559" t="s">
        <v>56</v>
      </c>
      <c r="O559" t="s">
        <v>73</v>
      </c>
      <c r="P559" s="54">
        <v>0.176482499704387</v>
      </c>
    </row>
    <row r="560" spans="1:16">
      <c r="A560" t="s">
        <v>1621</v>
      </c>
      <c r="B560" t="s">
        <v>1622</v>
      </c>
      <c r="C560" t="s">
        <v>1623</v>
      </c>
      <c r="D560" t="s">
        <v>27</v>
      </c>
      <c r="E560" t="s">
        <v>48</v>
      </c>
      <c r="F560" t="s">
        <v>64</v>
      </c>
      <c r="G560">
        <v>2</v>
      </c>
      <c r="H560">
        <v>7433.82</v>
      </c>
      <c r="I560">
        <v>0.15</v>
      </c>
      <c r="J560">
        <v>12637.49</v>
      </c>
      <c r="K560">
        <v>1161.11</v>
      </c>
      <c r="L560">
        <v>3.9</v>
      </c>
      <c r="M560" s="53">
        <v>45285</v>
      </c>
      <c r="N560" t="s">
        <v>56</v>
      </c>
      <c r="O560" t="s">
        <v>44</v>
      </c>
      <c r="P560" s="54">
        <v>0.0918782131578343</v>
      </c>
    </row>
    <row r="561" spans="1:16">
      <c r="A561" t="s">
        <v>1624</v>
      </c>
      <c r="B561" t="s">
        <v>1625</v>
      </c>
      <c r="C561" t="s">
        <v>1626</v>
      </c>
      <c r="D561" t="s">
        <v>27</v>
      </c>
      <c r="E561" t="s">
        <v>48</v>
      </c>
      <c r="F561" t="s">
        <v>64</v>
      </c>
      <c r="G561">
        <v>5</v>
      </c>
      <c r="H561">
        <v>8318.62</v>
      </c>
      <c r="I561">
        <v>0.2</v>
      </c>
      <c r="J561">
        <v>33274.48</v>
      </c>
      <c r="K561">
        <v>6288.34</v>
      </c>
      <c r="L561">
        <v>2.4</v>
      </c>
      <c r="M561" s="53">
        <v>45267</v>
      </c>
      <c r="N561" t="s">
        <v>56</v>
      </c>
      <c r="O561" t="s">
        <v>44</v>
      </c>
      <c r="P561" s="54">
        <v>0.188983869920732</v>
      </c>
    </row>
    <row r="562" spans="1:16">
      <c r="A562" t="s">
        <v>1627</v>
      </c>
      <c r="B562" t="s">
        <v>1628</v>
      </c>
      <c r="C562" t="s">
        <v>1629</v>
      </c>
      <c r="D562" t="s">
        <v>19</v>
      </c>
      <c r="E562" t="s">
        <v>129</v>
      </c>
      <c r="F562" t="s">
        <v>130</v>
      </c>
      <c r="G562">
        <v>3</v>
      </c>
      <c r="H562">
        <v>8533.32</v>
      </c>
      <c r="I562">
        <v>0.1</v>
      </c>
      <c r="J562">
        <v>23039.96</v>
      </c>
      <c r="K562">
        <v>3543.61</v>
      </c>
      <c r="L562">
        <v>4.3</v>
      </c>
      <c r="M562" s="53">
        <v>45215</v>
      </c>
      <c r="N562" t="s">
        <v>56</v>
      </c>
      <c r="O562" t="s">
        <v>31</v>
      </c>
      <c r="P562" s="54">
        <v>0.153802784379834</v>
      </c>
    </row>
    <row r="563" spans="1:16">
      <c r="A563" t="s">
        <v>1630</v>
      </c>
      <c r="B563" t="s">
        <v>1631</v>
      </c>
      <c r="C563" t="s">
        <v>1632</v>
      </c>
      <c r="D563" t="s">
        <v>27</v>
      </c>
      <c r="E563" t="s">
        <v>48</v>
      </c>
      <c r="F563" t="s">
        <v>64</v>
      </c>
      <c r="G563">
        <v>5</v>
      </c>
      <c r="H563">
        <v>12884.87</v>
      </c>
      <c r="I563">
        <v>0.2</v>
      </c>
      <c r="J563">
        <v>51539.48</v>
      </c>
      <c r="K563">
        <v>10047.88</v>
      </c>
      <c r="L563">
        <v>4.2</v>
      </c>
      <c r="M563" s="53">
        <v>45328</v>
      </c>
      <c r="N563" t="s">
        <v>43</v>
      </c>
      <c r="O563" t="s">
        <v>23</v>
      </c>
      <c r="P563" s="54">
        <v>0.1949550131278</v>
      </c>
    </row>
    <row r="564" spans="1:16">
      <c r="A564" t="s">
        <v>1633</v>
      </c>
      <c r="B564" t="s">
        <v>721</v>
      </c>
      <c r="C564" t="s">
        <v>1538</v>
      </c>
      <c r="D564" t="s">
        <v>27</v>
      </c>
      <c r="E564" t="s">
        <v>233</v>
      </c>
      <c r="F564" t="s">
        <v>234</v>
      </c>
      <c r="G564">
        <v>4</v>
      </c>
      <c r="H564">
        <v>15375.8</v>
      </c>
      <c r="I564">
        <v>0.05</v>
      </c>
      <c r="J564">
        <v>58428.04</v>
      </c>
      <c r="K564">
        <v>6985.83</v>
      </c>
      <c r="L564">
        <v>3.2</v>
      </c>
      <c r="M564" s="53">
        <v>45411</v>
      </c>
      <c r="N564" t="s">
        <v>22</v>
      </c>
      <c r="O564" t="s">
        <v>44</v>
      </c>
      <c r="P564" s="54">
        <v>0.119562970108188</v>
      </c>
    </row>
    <row r="565" spans="1:16">
      <c r="A565" t="s">
        <v>1634</v>
      </c>
      <c r="B565" t="s">
        <v>474</v>
      </c>
      <c r="C565" t="s">
        <v>1635</v>
      </c>
      <c r="D565" t="s">
        <v>40</v>
      </c>
      <c r="E565" t="s">
        <v>174</v>
      </c>
      <c r="F565" t="s">
        <v>313</v>
      </c>
      <c r="G565">
        <v>2</v>
      </c>
      <c r="H565">
        <v>8497.03</v>
      </c>
      <c r="I565">
        <v>0.05</v>
      </c>
      <c r="J565">
        <v>16144.36</v>
      </c>
      <c r="K565">
        <v>1430.18</v>
      </c>
      <c r="L565">
        <v>4.5</v>
      </c>
      <c r="M565" s="53">
        <v>45162</v>
      </c>
      <c r="N565" t="s">
        <v>56</v>
      </c>
      <c r="O565" t="s">
        <v>57</v>
      </c>
      <c r="P565" s="54">
        <v>0.0885869740268428</v>
      </c>
    </row>
    <row r="566" spans="1:16">
      <c r="A566" t="s">
        <v>1636</v>
      </c>
      <c r="B566" t="s">
        <v>1637</v>
      </c>
      <c r="C566" t="s">
        <v>1638</v>
      </c>
      <c r="D566" t="s">
        <v>53</v>
      </c>
      <c r="E566" t="s">
        <v>54</v>
      </c>
      <c r="F566" t="s">
        <v>249</v>
      </c>
      <c r="G566">
        <v>2</v>
      </c>
      <c r="H566">
        <v>2747.01</v>
      </c>
      <c r="I566">
        <v>0</v>
      </c>
      <c r="J566">
        <v>5494.02</v>
      </c>
      <c r="K566">
        <v>1020.03</v>
      </c>
      <c r="L566">
        <v>2.3</v>
      </c>
      <c r="M566" s="53">
        <v>45104</v>
      </c>
      <c r="N566" t="s">
        <v>43</v>
      </c>
      <c r="O566" t="s">
        <v>31</v>
      </c>
      <c r="P566" s="54">
        <v>0.185661865082399</v>
      </c>
    </row>
    <row r="567" spans="1:16">
      <c r="A567" t="s">
        <v>1639</v>
      </c>
      <c r="B567" t="s">
        <v>1640</v>
      </c>
      <c r="C567" t="s">
        <v>1641</v>
      </c>
      <c r="D567" t="s">
        <v>53</v>
      </c>
      <c r="E567" t="s">
        <v>54</v>
      </c>
      <c r="F567" t="s">
        <v>258</v>
      </c>
      <c r="G567">
        <v>3</v>
      </c>
      <c r="H567">
        <v>17688</v>
      </c>
      <c r="I567">
        <v>0</v>
      </c>
      <c r="J567">
        <v>53064</v>
      </c>
      <c r="K567">
        <v>6405.05</v>
      </c>
      <c r="L567">
        <v>2.5</v>
      </c>
      <c r="M567" s="53">
        <v>45023</v>
      </c>
      <c r="N567" t="s">
        <v>56</v>
      </c>
      <c r="O567" t="s">
        <v>57</v>
      </c>
      <c r="P567" s="54">
        <v>0.120704243931856</v>
      </c>
    </row>
    <row r="568" spans="1:16">
      <c r="A568" t="s">
        <v>1642</v>
      </c>
      <c r="B568" t="s">
        <v>866</v>
      </c>
      <c r="C568" t="s">
        <v>1189</v>
      </c>
      <c r="D568" t="s">
        <v>40</v>
      </c>
      <c r="E568" t="s">
        <v>81</v>
      </c>
      <c r="F568" t="s">
        <v>82</v>
      </c>
      <c r="G568">
        <v>4</v>
      </c>
      <c r="H568">
        <v>3946.18</v>
      </c>
      <c r="I568">
        <v>0.15</v>
      </c>
      <c r="J568">
        <v>13417.01</v>
      </c>
      <c r="K568">
        <v>1182.88</v>
      </c>
      <c r="L568">
        <v>1.3</v>
      </c>
      <c r="M568" s="53">
        <v>45293</v>
      </c>
      <c r="N568" t="s">
        <v>43</v>
      </c>
      <c r="O568" t="s">
        <v>57</v>
      </c>
      <c r="P568" s="54">
        <v>0.0881627128548015</v>
      </c>
    </row>
    <row r="569" spans="1:16">
      <c r="A569" t="s">
        <v>1643</v>
      </c>
      <c r="B569" t="s">
        <v>1644</v>
      </c>
      <c r="C569" t="s">
        <v>1645</v>
      </c>
      <c r="D569" t="s">
        <v>27</v>
      </c>
      <c r="E569" t="s">
        <v>117</v>
      </c>
      <c r="F569" t="s">
        <v>118</v>
      </c>
      <c r="G569">
        <v>3</v>
      </c>
      <c r="H569">
        <v>17539.72</v>
      </c>
      <c r="I569">
        <v>0.05</v>
      </c>
      <c r="J569">
        <v>49988.2</v>
      </c>
      <c r="K569">
        <v>5953.65</v>
      </c>
      <c r="L569">
        <v>4.4</v>
      </c>
      <c r="M569" s="53">
        <v>45418</v>
      </c>
      <c r="N569" t="s">
        <v>43</v>
      </c>
      <c r="O569" t="s">
        <v>73</v>
      </c>
      <c r="P569" s="54">
        <v>0.119101107861455</v>
      </c>
    </row>
    <row r="570" spans="1:16">
      <c r="A570" t="s">
        <v>1646</v>
      </c>
      <c r="B570" t="s">
        <v>315</v>
      </c>
      <c r="C570" t="s">
        <v>1647</v>
      </c>
      <c r="D570" t="s">
        <v>19</v>
      </c>
      <c r="E570" t="s">
        <v>20</v>
      </c>
      <c r="F570" t="s">
        <v>21</v>
      </c>
      <c r="G570">
        <v>1</v>
      </c>
      <c r="H570">
        <v>3212.01</v>
      </c>
      <c r="I570">
        <v>0</v>
      </c>
      <c r="J570">
        <v>3212.01</v>
      </c>
      <c r="K570">
        <v>287.6</v>
      </c>
      <c r="L570">
        <v>2</v>
      </c>
      <c r="M570" s="53">
        <v>45207</v>
      </c>
      <c r="N570" t="s">
        <v>56</v>
      </c>
      <c r="O570" t="s">
        <v>44</v>
      </c>
      <c r="P570" s="54">
        <v>0.0895389491315407</v>
      </c>
    </row>
    <row r="571" spans="1:16">
      <c r="A571" t="s">
        <v>1648</v>
      </c>
      <c r="B571" t="s">
        <v>1649</v>
      </c>
      <c r="C571" t="s">
        <v>1650</v>
      </c>
      <c r="D571" t="s">
        <v>27</v>
      </c>
      <c r="E571" t="s">
        <v>48</v>
      </c>
      <c r="F571" t="s">
        <v>64</v>
      </c>
      <c r="G571">
        <v>2</v>
      </c>
      <c r="H571">
        <v>10303.43</v>
      </c>
      <c r="I571">
        <v>0</v>
      </c>
      <c r="J571">
        <v>20606.86</v>
      </c>
      <c r="K571">
        <v>1867.87</v>
      </c>
      <c r="L571">
        <v>1.5</v>
      </c>
      <c r="M571" s="53">
        <v>45641</v>
      </c>
      <c r="N571" t="s">
        <v>43</v>
      </c>
      <c r="O571" t="s">
        <v>23</v>
      </c>
      <c r="P571" s="54">
        <v>0.0906431159332378</v>
      </c>
    </row>
    <row r="572" spans="1:16">
      <c r="A572" t="s">
        <v>1651</v>
      </c>
      <c r="B572" t="s">
        <v>1287</v>
      </c>
      <c r="C572" t="s">
        <v>1652</v>
      </c>
      <c r="D572" t="s">
        <v>40</v>
      </c>
      <c r="E572" t="s">
        <v>174</v>
      </c>
      <c r="F572" t="s">
        <v>202</v>
      </c>
      <c r="G572">
        <v>2</v>
      </c>
      <c r="H572">
        <v>7611.29</v>
      </c>
      <c r="I572">
        <v>0</v>
      </c>
      <c r="J572">
        <v>15222.58</v>
      </c>
      <c r="K572">
        <v>1897.58</v>
      </c>
      <c r="L572">
        <v>4.7</v>
      </c>
      <c r="M572" s="53">
        <v>45137</v>
      </c>
      <c r="N572" t="s">
        <v>43</v>
      </c>
      <c r="O572" t="s">
        <v>31</v>
      </c>
      <c r="P572" s="54">
        <v>0.124655610284196</v>
      </c>
    </row>
    <row r="573" spans="1:16">
      <c r="A573" t="s">
        <v>1653</v>
      </c>
      <c r="B573" t="s">
        <v>1654</v>
      </c>
      <c r="C573" t="s">
        <v>1655</v>
      </c>
      <c r="D573" t="s">
        <v>19</v>
      </c>
      <c r="E573" t="s">
        <v>35</v>
      </c>
      <c r="F573" t="s">
        <v>121</v>
      </c>
      <c r="G573">
        <v>1</v>
      </c>
      <c r="H573">
        <v>10063.64</v>
      </c>
      <c r="I573">
        <v>0.15</v>
      </c>
      <c r="J573">
        <v>8554.09</v>
      </c>
      <c r="K573">
        <v>453.76</v>
      </c>
      <c r="L573">
        <v>2.2</v>
      </c>
      <c r="M573" s="53">
        <v>45520</v>
      </c>
      <c r="N573" t="s">
        <v>22</v>
      </c>
      <c r="O573" t="s">
        <v>44</v>
      </c>
      <c r="P573" s="54">
        <v>0.0530459698226229</v>
      </c>
    </row>
    <row r="574" spans="1:16">
      <c r="A574" t="s">
        <v>1656</v>
      </c>
      <c r="B574" t="s">
        <v>1657</v>
      </c>
      <c r="C574" t="s">
        <v>1658</v>
      </c>
      <c r="D574" t="s">
        <v>53</v>
      </c>
      <c r="E574" t="s">
        <v>71</v>
      </c>
      <c r="F574" t="s">
        <v>406</v>
      </c>
      <c r="G574">
        <v>4</v>
      </c>
      <c r="H574">
        <v>6544.5</v>
      </c>
      <c r="I574">
        <v>0.15</v>
      </c>
      <c r="J574">
        <v>22251.3</v>
      </c>
      <c r="K574">
        <v>4828.93</v>
      </c>
      <c r="L574">
        <v>2</v>
      </c>
      <c r="M574" s="53">
        <v>45030</v>
      </c>
      <c r="N574" t="s">
        <v>56</v>
      </c>
      <c r="O574" t="s">
        <v>31</v>
      </c>
      <c r="P574" s="54">
        <v>0.21701788210127</v>
      </c>
    </row>
    <row r="575" spans="1:16">
      <c r="A575" t="s">
        <v>1659</v>
      </c>
      <c r="B575" t="s">
        <v>948</v>
      </c>
      <c r="C575" t="s">
        <v>1660</v>
      </c>
      <c r="D575" t="s">
        <v>53</v>
      </c>
      <c r="E575" t="s">
        <v>71</v>
      </c>
      <c r="F575" t="s">
        <v>406</v>
      </c>
      <c r="G575">
        <v>3</v>
      </c>
      <c r="H575">
        <v>5395.77</v>
      </c>
      <c r="I575">
        <v>0.15</v>
      </c>
      <c r="J575">
        <v>13759.21</v>
      </c>
      <c r="K575">
        <v>1157.97</v>
      </c>
      <c r="L575">
        <v>3.3</v>
      </c>
      <c r="M575" s="53">
        <v>45458</v>
      </c>
      <c r="N575" t="s">
        <v>56</v>
      </c>
      <c r="O575" t="s">
        <v>73</v>
      </c>
      <c r="P575" s="54">
        <v>0.0841596283507556</v>
      </c>
    </row>
    <row r="576" spans="1:16">
      <c r="A576" t="s">
        <v>1661</v>
      </c>
      <c r="B576" t="s">
        <v>1662</v>
      </c>
      <c r="C576" t="s">
        <v>1663</v>
      </c>
      <c r="D576" t="s">
        <v>53</v>
      </c>
      <c r="E576" t="s">
        <v>100</v>
      </c>
      <c r="F576" t="s">
        <v>267</v>
      </c>
      <c r="G576">
        <v>4</v>
      </c>
      <c r="H576">
        <v>18681.93</v>
      </c>
      <c r="I576">
        <v>0.2</v>
      </c>
      <c r="J576">
        <v>59782.18</v>
      </c>
      <c r="K576">
        <v>7837.8</v>
      </c>
      <c r="L576">
        <v>4</v>
      </c>
      <c r="M576" s="53">
        <v>45269</v>
      </c>
      <c r="N576" t="s">
        <v>30</v>
      </c>
      <c r="O576" t="s">
        <v>23</v>
      </c>
      <c r="P576" s="54">
        <v>0.131105958330727</v>
      </c>
    </row>
    <row r="577" spans="1:16">
      <c r="A577" t="s">
        <v>1664</v>
      </c>
      <c r="B577" t="s">
        <v>968</v>
      </c>
      <c r="C577" t="s">
        <v>1665</v>
      </c>
      <c r="D577" t="s">
        <v>27</v>
      </c>
      <c r="E577" t="s">
        <v>28</v>
      </c>
      <c r="F577" t="s">
        <v>225</v>
      </c>
      <c r="G577">
        <v>3</v>
      </c>
      <c r="H577">
        <v>6021.21</v>
      </c>
      <c r="I577">
        <v>0.15</v>
      </c>
      <c r="J577">
        <v>15354.09</v>
      </c>
      <c r="K577">
        <v>3339.03</v>
      </c>
      <c r="L577">
        <v>2.6</v>
      </c>
      <c r="M577" s="53">
        <v>45642</v>
      </c>
      <c r="N577" t="s">
        <v>22</v>
      </c>
      <c r="O577" t="s">
        <v>23</v>
      </c>
      <c r="P577" s="54">
        <v>0.217468440005236</v>
      </c>
    </row>
    <row r="578" spans="1:16">
      <c r="A578" t="s">
        <v>1666</v>
      </c>
      <c r="B578" t="s">
        <v>1667</v>
      </c>
      <c r="C578" t="s">
        <v>1668</v>
      </c>
      <c r="D578" t="s">
        <v>19</v>
      </c>
      <c r="E578" t="s">
        <v>86</v>
      </c>
      <c r="F578" t="s">
        <v>113</v>
      </c>
      <c r="G578">
        <v>3</v>
      </c>
      <c r="H578">
        <v>3292.29</v>
      </c>
      <c r="I578">
        <v>0.05</v>
      </c>
      <c r="J578">
        <v>9383.03</v>
      </c>
      <c r="K578">
        <v>2222.53</v>
      </c>
      <c r="L578">
        <v>2.5</v>
      </c>
      <c r="M578" s="53">
        <v>45467</v>
      </c>
      <c r="N578" t="s">
        <v>30</v>
      </c>
      <c r="O578" t="s">
        <v>73</v>
      </c>
      <c r="P578" s="54">
        <v>0.236866982200846</v>
      </c>
    </row>
    <row r="579" spans="1:16">
      <c r="A579" t="s">
        <v>1669</v>
      </c>
      <c r="B579" t="s">
        <v>1670</v>
      </c>
      <c r="C579" t="s">
        <v>1671</v>
      </c>
      <c r="D579" t="s">
        <v>40</v>
      </c>
      <c r="E579" t="s">
        <v>41</v>
      </c>
      <c r="F579" t="s">
        <v>154</v>
      </c>
      <c r="G579">
        <v>3</v>
      </c>
      <c r="H579">
        <v>19832.12</v>
      </c>
      <c r="I579">
        <v>0.2</v>
      </c>
      <c r="J579">
        <v>47597.09</v>
      </c>
      <c r="K579">
        <v>9600.41</v>
      </c>
      <c r="L579">
        <v>2.8</v>
      </c>
      <c r="M579" s="53">
        <v>45506</v>
      </c>
      <c r="N579" t="s">
        <v>43</v>
      </c>
      <c r="O579" t="s">
        <v>73</v>
      </c>
      <c r="P579" s="54">
        <v>0.201701616632445</v>
      </c>
    </row>
    <row r="580" spans="1:16">
      <c r="A580" t="s">
        <v>1672</v>
      </c>
      <c r="B580" t="s">
        <v>187</v>
      </c>
      <c r="C580" t="s">
        <v>1673</v>
      </c>
      <c r="D580" t="s">
        <v>53</v>
      </c>
      <c r="E580" t="s">
        <v>100</v>
      </c>
      <c r="F580" t="s">
        <v>271</v>
      </c>
      <c r="G580">
        <v>2</v>
      </c>
      <c r="H580">
        <v>15191.53</v>
      </c>
      <c r="I580">
        <v>0.05</v>
      </c>
      <c r="J580">
        <v>28863.91</v>
      </c>
      <c r="K580">
        <v>2581.21</v>
      </c>
      <c r="L580">
        <v>3</v>
      </c>
      <c r="M580" s="53">
        <v>45368</v>
      </c>
      <c r="N580" t="s">
        <v>56</v>
      </c>
      <c r="O580" t="s">
        <v>44</v>
      </c>
      <c r="P580" s="54">
        <v>0.0894269002363159</v>
      </c>
    </row>
    <row r="581" spans="1:16">
      <c r="A581" t="s">
        <v>1674</v>
      </c>
      <c r="B581" t="s">
        <v>1675</v>
      </c>
      <c r="C581" t="s">
        <v>1676</v>
      </c>
      <c r="D581" t="s">
        <v>19</v>
      </c>
      <c r="E581" t="s">
        <v>20</v>
      </c>
      <c r="F581" t="s">
        <v>21</v>
      </c>
      <c r="G581">
        <v>2</v>
      </c>
      <c r="H581">
        <v>12949.85</v>
      </c>
      <c r="I581">
        <v>0.05</v>
      </c>
      <c r="J581">
        <v>24604.72</v>
      </c>
      <c r="K581">
        <v>5320.16</v>
      </c>
      <c r="L581">
        <v>4.4</v>
      </c>
      <c r="M581" s="53">
        <v>45139</v>
      </c>
      <c r="N581" t="s">
        <v>43</v>
      </c>
      <c r="O581" t="s">
        <v>31</v>
      </c>
      <c r="P581" s="54">
        <v>0.216225179559044</v>
      </c>
    </row>
    <row r="582" spans="1:16">
      <c r="A582" t="s">
        <v>1677</v>
      </c>
      <c r="B582" t="s">
        <v>618</v>
      </c>
      <c r="C582" t="s">
        <v>1678</v>
      </c>
      <c r="D582" t="s">
        <v>19</v>
      </c>
      <c r="E582" t="s">
        <v>86</v>
      </c>
      <c r="F582" t="s">
        <v>87</v>
      </c>
      <c r="G582">
        <v>4</v>
      </c>
      <c r="H582">
        <v>8556</v>
      </c>
      <c r="I582">
        <v>0.1</v>
      </c>
      <c r="J582">
        <v>30801.6</v>
      </c>
      <c r="K582">
        <v>5854.92</v>
      </c>
      <c r="L582">
        <v>4.9</v>
      </c>
      <c r="M582" s="53">
        <v>45438</v>
      </c>
      <c r="N582" t="s">
        <v>56</v>
      </c>
      <c r="O582" t="s">
        <v>73</v>
      </c>
      <c r="P582" s="54">
        <v>0.190084930652953</v>
      </c>
    </row>
    <row r="583" spans="1:16">
      <c r="A583" t="s">
        <v>1679</v>
      </c>
      <c r="B583" t="s">
        <v>1680</v>
      </c>
      <c r="C583" t="s">
        <v>1681</v>
      </c>
      <c r="D583" t="s">
        <v>53</v>
      </c>
      <c r="E583" t="s">
        <v>54</v>
      </c>
      <c r="F583" t="s">
        <v>109</v>
      </c>
      <c r="G583">
        <v>1</v>
      </c>
      <c r="H583">
        <v>18503.45</v>
      </c>
      <c r="I583">
        <v>0.1</v>
      </c>
      <c r="J583">
        <v>16653.1</v>
      </c>
      <c r="K583">
        <v>2468.88</v>
      </c>
      <c r="L583">
        <v>4.4</v>
      </c>
      <c r="M583" s="53">
        <v>44941</v>
      </c>
      <c r="N583" t="s">
        <v>22</v>
      </c>
      <c r="O583" t="s">
        <v>73</v>
      </c>
      <c r="P583" s="54">
        <v>0.148253478331362</v>
      </c>
    </row>
    <row r="584" spans="1:16">
      <c r="A584" t="s">
        <v>1682</v>
      </c>
      <c r="B584" t="s">
        <v>1079</v>
      </c>
      <c r="C584" t="s">
        <v>1683</v>
      </c>
      <c r="D584" t="s">
        <v>19</v>
      </c>
      <c r="E584" t="s">
        <v>129</v>
      </c>
      <c r="F584" t="s">
        <v>302</v>
      </c>
      <c r="G584">
        <v>5</v>
      </c>
      <c r="H584">
        <v>11636.73</v>
      </c>
      <c r="I584">
        <v>0.15</v>
      </c>
      <c r="J584">
        <v>49456.1</v>
      </c>
      <c r="K584">
        <v>6602.24</v>
      </c>
      <c r="L584">
        <v>1.9</v>
      </c>
      <c r="M584" s="53">
        <v>45544</v>
      </c>
      <c r="N584" t="s">
        <v>56</v>
      </c>
      <c r="O584" t="s">
        <v>23</v>
      </c>
      <c r="P584" s="54">
        <v>0.133496980150072</v>
      </c>
    </row>
    <row r="585" spans="1:16">
      <c r="A585" t="s">
        <v>1684</v>
      </c>
      <c r="B585" t="s">
        <v>1685</v>
      </c>
      <c r="C585" t="s">
        <v>1686</v>
      </c>
      <c r="D585" t="s">
        <v>19</v>
      </c>
      <c r="E585" t="s">
        <v>35</v>
      </c>
      <c r="F585" t="s">
        <v>245</v>
      </c>
      <c r="G585">
        <v>1</v>
      </c>
      <c r="H585">
        <v>16224.38</v>
      </c>
      <c r="I585">
        <v>0.05</v>
      </c>
      <c r="J585">
        <v>15413.16</v>
      </c>
      <c r="K585">
        <v>1845.81</v>
      </c>
      <c r="L585">
        <v>3.7</v>
      </c>
      <c r="M585" s="53">
        <v>45297</v>
      </c>
      <c r="N585" t="s">
        <v>30</v>
      </c>
      <c r="O585" t="s">
        <v>44</v>
      </c>
      <c r="P585" s="54">
        <v>0.119755455727443</v>
      </c>
    </row>
    <row r="586" spans="1:16">
      <c r="A586" t="s">
        <v>1687</v>
      </c>
      <c r="B586" t="s">
        <v>1688</v>
      </c>
      <c r="C586" t="s">
        <v>1689</v>
      </c>
      <c r="D586" t="s">
        <v>19</v>
      </c>
      <c r="E586" t="s">
        <v>129</v>
      </c>
      <c r="F586" t="s">
        <v>130</v>
      </c>
      <c r="G586">
        <v>5</v>
      </c>
      <c r="H586">
        <v>9468.63</v>
      </c>
      <c r="I586">
        <v>0</v>
      </c>
      <c r="J586">
        <v>47343.15</v>
      </c>
      <c r="K586">
        <v>9236.1</v>
      </c>
      <c r="L586">
        <v>3.2</v>
      </c>
      <c r="M586" s="53">
        <v>45441</v>
      </c>
      <c r="N586" t="s">
        <v>56</v>
      </c>
      <c r="O586" t="s">
        <v>23</v>
      </c>
      <c r="P586" s="54">
        <v>0.19508841300167</v>
      </c>
    </row>
    <row r="587" spans="1:16">
      <c r="A587" t="s">
        <v>1690</v>
      </c>
      <c r="B587" t="s">
        <v>1691</v>
      </c>
      <c r="C587" t="s">
        <v>1692</v>
      </c>
      <c r="D587" t="s">
        <v>19</v>
      </c>
      <c r="E587" t="s">
        <v>129</v>
      </c>
      <c r="F587" t="s">
        <v>320</v>
      </c>
      <c r="G587">
        <v>2</v>
      </c>
      <c r="H587">
        <v>12944.56</v>
      </c>
      <c r="I587">
        <v>0.2</v>
      </c>
      <c r="J587">
        <v>20711.3</v>
      </c>
      <c r="K587">
        <v>4191.93</v>
      </c>
      <c r="L587">
        <v>5</v>
      </c>
      <c r="M587" s="53">
        <v>45454</v>
      </c>
      <c r="N587" t="s">
        <v>22</v>
      </c>
      <c r="O587" t="s">
        <v>73</v>
      </c>
      <c r="P587" s="54">
        <v>0.202398207741668</v>
      </c>
    </row>
    <row r="588" spans="1:16">
      <c r="A588" t="s">
        <v>1693</v>
      </c>
      <c r="B588" t="s">
        <v>1694</v>
      </c>
      <c r="C588" t="s">
        <v>1695</v>
      </c>
      <c r="D588" t="s">
        <v>27</v>
      </c>
      <c r="E588" t="s">
        <v>233</v>
      </c>
      <c r="F588" t="s">
        <v>606</v>
      </c>
      <c r="G588">
        <v>2</v>
      </c>
      <c r="H588">
        <v>19768.82</v>
      </c>
      <c r="I588">
        <v>0.2</v>
      </c>
      <c r="J588">
        <v>31630.11</v>
      </c>
      <c r="K588">
        <v>4359.85</v>
      </c>
      <c r="L588">
        <v>3.4</v>
      </c>
      <c r="M588" s="53">
        <v>45470</v>
      </c>
      <c r="N588" t="s">
        <v>22</v>
      </c>
      <c r="O588" t="s">
        <v>44</v>
      </c>
      <c r="P588" s="54">
        <v>0.137838597462987</v>
      </c>
    </row>
    <row r="589" spans="1:16">
      <c r="A589" t="s">
        <v>1696</v>
      </c>
      <c r="B589" t="s">
        <v>1697</v>
      </c>
      <c r="C589" t="s">
        <v>1698</v>
      </c>
      <c r="D589" t="s">
        <v>40</v>
      </c>
      <c r="E589" t="s">
        <v>41</v>
      </c>
      <c r="F589" t="s">
        <v>154</v>
      </c>
      <c r="G589">
        <v>2</v>
      </c>
      <c r="H589">
        <v>8524.05</v>
      </c>
      <c r="I589">
        <v>0.2</v>
      </c>
      <c r="J589">
        <v>13638.48</v>
      </c>
      <c r="K589">
        <v>2391.9</v>
      </c>
      <c r="L589">
        <v>1.1</v>
      </c>
      <c r="M589" s="53">
        <v>45419</v>
      </c>
      <c r="N589" t="s">
        <v>43</v>
      </c>
      <c r="O589" t="s">
        <v>31</v>
      </c>
      <c r="P589" s="54">
        <v>0.175378781213156</v>
      </c>
    </row>
    <row r="590" spans="1:16">
      <c r="A590" t="s">
        <v>1699</v>
      </c>
      <c r="B590" t="s">
        <v>1700</v>
      </c>
      <c r="C590" t="s">
        <v>1701</v>
      </c>
      <c r="D590" t="s">
        <v>53</v>
      </c>
      <c r="E590" t="s">
        <v>54</v>
      </c>
      <c r="F590" t="s">
        <v>55</v>
      </c>
      <c r="G590">
        <v>5</v>
      </c>
      <c r="H590">
        <v>10685.77</v>
      </c>
      <c r="I590">
        <v>0.1</v>
      </c>
      <c r="J590">
        <v>48085.97</v>
      </c>
      <c r="K590">
        <v>4152.34</v>
      </c>
      <c r="L590">
        <v>1.8</v>
      </c>
      <c r="M590" s="53">
        <v>45655</v>
      </c>
      <c r="N590" t="s">
        <v>56</v>
      </c>
      <c r="O590" t="s">
        <v>23</v>
      </c>
      <c r="P590" s="54">
        <v>0.0863524225465349</v>
      </c>
    </row>
    <row r="591" spans="1:16">
      <c r="A591" t="s">
        <v>1702</v>
      </c>
      <c r="B591" t="s">
        <v>1703</v>
      </c>
      <c r="C591" t="s">
        <v>1704</v>
      </c>
      <c r="D591" t="s">
        <v>53</v>
      </c>
      <c r="E591" t="s">
        <v>95</v>
      </c>
      <c r="F591" t="s">
        <v>524</v>
      </c>
      <c r="G591">
        <v>5</v>
      </c>
      <c r="H591">
        <v>14306.63</v>
      </c>
      <c r="I591">
        <v>0.2</v>
      </c>
      <c r="J591">
        <v>57226.52</v>
      </c>
      <c r="K591">
        <v>13698.31</v>
      </c>
      <c r="L591">
        <v>3.8</v>
      </c>
      <c r="M591" s="53">
        <v>45046</v>
      </c>
      <c r="N591" t="s">
        <v>43</v>
      </c>
      <c r="O591" t="s">
        <v>31</v>
      </c>
      <c r="P591" s="54">
        <v>0.239369963436533</v>
      </c>
    </row>
    <row r="592" spans="1:16">
      <c r="A592" t="s">
        <v>1705</v>
      </c>
      <c r="B592" t="s">
        <v>139</v>
      </c>
      <c r="C592" t="s">
        <v>1706</v>
      </c>
      <c r="D592" t="s">
        <v>19</v>
      </c>
      <c r="E592" t="s">
        <v>86</v>
      </c>
      <c r="F592" t="s">
        <v>113</v>
      </c>
      <c r="G592">
        <v>5</v>
      </c>
      <c r="H592">
        <v>9607.88</v>
      </c>
      <c r="I592">
        <v>0.1</v>
      </c>
      <c r="J592">
        <v>43235.46</v>
      </c>
      <c r="K592">
        <v>8673.1</v>
      </c>
      <c r="L592">
        <v>4.6</v>
      </c>
      <c r="M592" s="53">
        <v>45626</v>
      </c>
      <c r="N592" t="s">
        <v>56</v>
      </c>
      <c r="O592" t="s">
        <v>57</v>
      </c>
      <c r="P592" s="54">
        <v>0.200601543270269</v>
      </c>
    </row>
    <row r="593" spans="1:16">
      <c r="A593" t="s">
        <v>1707</v>
      </c>
      <c r="B593" t="s">
        <v>1708</v>
      </c>
      <c r="C593" t="s">
        <v>1709</v>
      </c>
      <c r="D593" t="s">
        <v>53</v>
      </c>
      <c r="E593" t="s">
        <v>95</v>
      </c>
      <c r="F593" t="s">
        <v>306</v>
      </c>
      <c r="G593">
        <v>5</v>
      </c>
      <c r="H593">
        <v>13435.57</v>
      </c>
      <c r="I593">
        <v>0.15</v>
      </c>
      <c r="J593">
        <v>57101.17</v>
      </c>
      <c r="K593">
        <v>10620.05</v>
      </c>
      <c r="L593">
        <v>2.8</v>
      </c>
      <c r="M593" s="53">
        <v>45625</v>
      </c>
      <c r="N593" t="s">
        <v>43</v>
      </c>
      <c r="O593" t="s">
        <v>31</v>
      </c>
      <c r="P593" s="54">
        <v>0.185986556842881</v>
      </c>
    </row>
    <row r="594" spans="1:16">
      <c r="A594" t="s">
        <v>1710</v>
      </c>
      <c r="B594" t="s">
        <v>497</v>
      </c>
      <c r="C594" t="s">
        <v>1711</v>
      </c>
      <c r="D594" t="s">
        <v>40</v>
      </c>
      <c r="E594" t="s">
        <v>81</v>
      </c>
      <c r="F594" t="s">
        <v>263</v>
      </c>
      <c r="G594">
        <v>3</v>
      </c>
      <c r="H594">
        <v>9529.4</v>
      </c>
      <c r="I594">
        <v>0</v>
      </c>
      <c r="J594">
        <v>28588.2</v>
      </c>
      <c r="K594">
        <v>2333.82</v>
      </c>
      <c r="L594">
        <v>4.9</v>
      </c>
      <c r="M594" s="53">
        <v>44998</v>
      </c>
      <c r="N594" t="s">
        <v>43</v>
      </c>
      <c r="O594" t="s">
        <v>23</v>
      </c>
      <c r="P594" s="54">
        <v>0.081635779797259</v>
      </c>
    </row>
    <row r="595" spans="1:16">
      <c r="A595" t="s">
        <v>1712</v>
      </c>
      <c r="B595" t="s">
        <v>1713</v>
      </c>
      <c r="C595" t="s">
        <v>1714</v>
      </c>
      <c r="D595" t="s">
        <v>19</v>
      </c>
      <c r="E595" t="s">
        <v>35</v>
      </c>
      <c r="F595" t="s">
        <v>245</v>
      </c>
      <c r="G595">
        <v>5</v>
      </c>
      <c r="H595">
        <v>17103.35</v>
      </c>
      <c r="I595">
        <v>0.1</v>
      </c>
      <c r="J595">
        <v>76965.07</v>
      </c>
      <c r="K595">
        <v>7054.8</v>
      </c>
      <c r="L595">
        <v>3.9</v>
      </c>
      <c r="M595" s="53">
        <v>45612</v>
      </c>
      <c r="N595" t="s">
        <v>22</v>
      </c>
      <c r="O595" t="s">
        <v>23</v>
      </c>
      <c r="P595" s="54">
        <v>0.0916623606007245</v>
      </c>
    </row>
    <row r="596" spans="1:16">
      <c r="A596" t="s">
        <v>1715</v>
      </c>
      <c r="B596" t="s">
        <v>1222</v>
      </c>
      <c r="C596" t="s">
        <v>1716</v>
      </c>
      <c r="D596" t="s">
        <v>27</v>
      </c>
      <c r="E596" t="s">
        <v>117</v>
      </c>
      <c r="F596" t="s">
        <v>118</v>
      </c>
      <c r="G596">
        <v>4</v>
      </c>
      <c r="H596">
        <v>18015.91</v>
      </c>
      <c r="I596">
        <v>0.15</v>
      </c>
      <c r="J596">
        <v>61254.09</v>
      </c>
      <c r="K596">
        <v>3230.49</v>
      </c>
      <c r="L596">
        <v>1.8</v>
      </c>
      <c r="M596" s="53">
        <v>45314</v>
      </c>
      <c r="N596" t="s">
        <v>43</v>
      </c>
      <c r="O596" t="s">
        <v>31</v>
      </c>
      <c r="P596" s="54">
        <v>0.0527391721924201</v>
      </c>
    </row>
    <row r="597" spans="1:16">
      <c r="A597" t="s">
        <v>1717</v>
      </c>
      <c r="B597" t="s">
        <v>1718</v>
      </c>
      <c r="C597" t="s">
        <v>1719</v>
      </c>
      <c r="D597" t="s">
        <v>19</v>
      </c>
      <c r="E597" t="s">
        <v>20</v>
      </c>
      <c r="F597" t="s">
        <v>21</v>
      </c>
      <c r="G597">
        <v>1</v>
      </c>
      <c r="H597">
        <v>6934.46</v>
      </c>
      <c r="I597">
        <v>0.05</v>
      </c>
      <c r="J597">
        <v>6587.74</v>
      </c>
      <c r="K597">
        <v>500.08</v>
      </c>
      <c r="L597">
        <v>2.4</v>
      </c>
      <c r="M597" s="53">
        <v>44930</v>
      </c>
      <c r="N597" t="s">
        <v>56</v>
      </c>
      <c r="O597" t="s">
        <v>73</v>
      </c>
      <c r="P597" s="54">
        <v>0.0759107068584978</v>
      </c>
    </row>
    <row r="598" spans="1:16">
      <c r="A598" t="s">
        <v>1720</v>
      </c>
      <c r="B598" t="s">
        <v>1244</v>
      </c>
      <c r="C598" t="s">
        <v>1721</v>
      </c>
      <c r="D598" t="s">
        <v>27</v>
      </c>
      <c r="E598" t="s">
        <v>233</v>
      </c>
      <c r="F598" t="s">
        <v>362</v>
      </c>
      <c r="G598">
        <v>5</v>
      </c>
      <c r="H598">
        <v>15061.35</v>
      </c>
      <c r="I598">
        <v>0.15</v>
      </c>
      <c r="J598">
        <v>64010.74</v>
      </c>
      <c r="K598">
        <v>9854.05</v>
      </c>
      <c r="L598">
        <v>2.5</v>
      </c>
      <c r="M598" s="53">
        <v>45338</v>
      </c>
      <c r="N598" t="s">
        <v>30</v>
      </c>
      <c r="O598" t="s">
        <v>31</v>
      </c>
      <c r="P598" s="54">
        <v>0.153943697573251</v>
      </c>
    </row>
    <row r="599" spans="1:16">
      <c r="A599" t="s">
        <v>1722</v>
      </c>
      <c r="B599" t="s">
        <v>1723</v>
      </c>
      <c r="C599" t="s">
        <v>1724</v>
      </c>
      <c r="D599" t="s">
        <v>53</v>
      </c>
      <c r="E599" t="s">
        <v>100</v>
      </c>
      <c r="F599" t="s">
        <v>229</v>
      </c>
      <c r="G599">
        <v>1</v>
      </c>
      <c r="H599">
        <v>1126.97</v>
      </c>
      <c r="I599">
        <v>0.05</v>
      </c>
      <c r="J599">
        <v>1070.62</v>
      </c>
      <c r="K599">
        <v>263.82</v>
      </c>
      <c r="L599">
        <v>4.8</v>
      </c>
      <c r="M599" s="53">
        <v>45105</v>
      </c>
      <c r="N599" t="s">
        <v>43</v>
      </c>
      <c r="O599" t="s">
        <v>23</v>
      </c>
      <c r="P599" s="54">
        <v>0.246417963423063</v>
      </c>
    </row>
    <row r="600" spans="1:16">
      <c r="A600" t="s">
        <v>1725</v>
      </c>
      <c r="B600" t="s">
        <v>1335</v>
      </c>
      <c r="C600" t="s">
        <v>1726</v>
      </c>
      <c r="D600" t="s">
        <v>53</v>
      </c>
      <c r="E600" t="s">
        <v>95</v>
      </c>
      <c r="F600" t="s">
        <v>524</v>
      </c>
      <c r="G600">
        <v>5</v>
      </c>
      <c r="H600">
        <v>3603.4</v>
      </c>
      <c r="I600">
        <v>0.2</v>
      </c>
      <c r="J600">
        <v>14413.6</v>
      </c>
      <c r="K600">
        <v>1014.37</v>
      </c>
      <c r="L600">
        <v>5</v>
      </c>
      <c r="M600" s="53">
        <v>45511</v>
      </c>
      <c r="N600" t="s">
        <v>22</v>
      </c>
      <c r="O600" t="s">
        <v>23</v>
      </c>
      <c r="P600" s="54">
        <v>0.0703758949880668</v>
      </c>
    </row>
    <row r="601" spans="1:16">
      <c r="A601" t="s">
        <v>1727</v>
      </c>
      <c r="B601" t="s">
        <v>1041</v>
      </c>
      <c r="C601" t="s">
        <v>1728</v>
      </c>
      <c r="D601" t="s">
        <v>53</v>
      </c>
      <c r="E601" t="s">
        <v>71</v>
      </c>
      <c r="F601" t="s">
        <v>225</v>
      </c>
      <c r="G601">
        <v>5</v>
      </c>
      <c r="H601">
        <v>14368.63</v>
      </c>
      <c r="I601">
        <v>0.15</v>
      </c>
      <c r="J601">
        <v>61066.68</v>
      </c>
      <c r="K601">
        <v>7565.79</v>
      </c>
      <c r="L601">
        <v>1</v>
      </c>
      <c r="M601" s="53">
        <v>45237</v>
      </c>
      <c r="N601" t="s">
        <v>43</v>
      </c>
      <c r="O601" t="s">
        <v>73</v>
      </c>
      <c r="P601" s="54">
        <v>0.123893913996962</v>
      </c>
    </row>
    <row r="602" spans="1:16">
      <c r="A602" t="s">
        <v>1729</v>
      </c>
      <c r="B602" t="s">
        <v>1730</v>
      </c>
      <c r="C602" t="s">
        <v>1731</v>
      </c>
      <c r="D602" t="s">
        <v>53</v>
      </c>
      <c r="E602" t="s">
        <v>71</v>
      </c>
      <c r="F602" t="s">
        <v>406</v>
      </c>
      <c r="G602">
        <v>5</v>
      </c>
      <c r="H602">
        <v>9521.49</v>
      </c>
      <c r="I602">
        <v>0.05</v>
      </c>
      <c r="J602">
        <v>45227.08</v>
      </c>
      <c r="K602">
        <v>11192.8</v>
      </c>
      <c r="L602">
        <v>3.7</v>
      </c>
      <c r="M602" s="53">
        <v>45650</v>
      </c>
      <c r="N602" t="s">
        <v>43</v>
      </c>
      <c r="O602" t="s">
        <v>73</v>
      </c>
      <c r="P602" s="54">
        <v>0.247480049563226</v>
      </c>
    </row>
    <row r="603" spans="1:16">
      <c r="A603" t="s">
        <v>1732</v>
      </c>
      <c r="B603" t="s">
        <v>578</v>
      </c>
      <c r="C603" t="s">
        <v>1733</v>
      </c>
      <c r="D603" t="s">
        <v>19</v>
      </c>
      <c r="E603" t="s">
        <v>86</v>
      </c>
      <c r="F603" t="s">
        <v>182</v>
      </c>
      <c r="G603">
        <v>3</v>
      </c>
      <c r="H603">
        <v>14413.13</v>
      </c>
      <c r="I603">
        <v>0.1</v>
      </c>
      <c r="J603">
        <v>38915.45</v>
      </c>
      <c r="K603">
        <v>9533.21</v>
      </c>
      <c r="L603">
        <v>4.3</v>
      </c>
      <c r="M603" s="53">
        <v>45378</v>
      </c>
      <c r="N603" t="s">
        <v>56</v>
      </c>
      <c r="O603" t="s">
        <v>23</v>
      </c>
      <c r="P603" s="54">
        <v>0.244972369585859</v>
      </c>
    </row>
    <row r="604" spans="1:16">
      <c r="A604" t="s">
        <v>1734</v>
      </c>
      <c r="B604" t="s">
        <v>1622</v>
      </c>
      <c r="C604" t="s">
        <v>1735</v>
      </c>
      <c r="D604" t="s">
        <v>40</v>
      </c>
      <c r="E604" t="s">
        <v>81</v>
      </c>
      <c r="F604" t="s">
        <v>358</v>
      </c>
      <c r="G604">
        <v>3</v>
      </c>
      <c r="H604">
        <v>6884.35</v>
      </c>
      <c r="I604">
        <v>0.1</v>
      </c>
      <c r="J604">
        <v>18587.75</v>
      </c>
      <c r="K604">
        <v>3167.13</v>
      </c>
      <c r="L604">
        <v>1.4</v>
      </c>
      <c r="M604" s="53">
        <v>45176</v>
      </c>
      <c r="N604" t="s">
        <v>56</v>
      </c>
      <c r="O604" t="s">
        <v>31</v>
      </c>
      <c r="P604" s="54">
        <v>0.170388024370889</v>
      </c>
    </row>
    <row r="605" spans="1:16">
      <c r="A605" t="s">
        <v>1736</v>
      </c>
      <c r="B605" t="s">
        <v>1169</v>
      </c>
      <c r="C605" t="s">
        <v>1737</v>
      </c>
      <c r="D605" t="s">
        <v>53</v>
      </c>
      <c r="E605" t="s">
        <v>100</v>
      </c>
      <c r="F605" t="s">
        <v>101</v>
      </c>
      <c r="G605">
        <v>4</v>
      </c>
      <c r="H605">
        <v>16755.15</v>
      </c>
      <c r="I605">
        <v>0.2</v>
      </c>
      <c r="J605">
        <v>53616.48</v>
      </c>
      <c r="K605">
        <v>12630.83</v>
      </c>
      <c r="L605">
        <v>5</v>
      </c>
      <c r="M605" s="53">
        <v>45566</v>
      </c>
      <c r="N605" t="s">
        <v>43</v>
      </c>
      <c r="O605" t="s">
        <v>44</v>
      </c>
      <c r="P605" s="54">
        <v>0.235577382178017</v>
      </c>
    </row>
    <row r="606" spans="1:16">
      <c r="A606" t="s">
        <v>1738</v>
      </c>
      <c r="B606" t="s">
        <v>1739</v>
      </c>
      <c r="C606" t="s">
        <v>1740</v>
      </c>
      <c r="D606" t="s">
        <v>53</v>
      </c>
      <c r="E606" t="s">
        <v>54</v>
      </c>
      <c r="F606" t="s">
        <v>258</v>
      </c>
      <c r="G606">
        <v>2</v>
      </c>
      <c r="H606">
        <v>19860.29</v>
      </c>
      <c r="I606">
        <v>0</v>
      </c>
      <c r="J606">
        <v>39720.58</v>
      </c>
      <c r="K606">
        <v>4037.56</v>
      </c>
      <c r="L606">
        <v>2.1</v>
      </c>
      <c r="M606" s="53">
        <v>45613</v>
      </c>
      <c r="N606" t="s">
        <v>56</v>
      </c>
      <c r="O606" t="s">
        <v>23</v>
      </c>
      <c r="P606" s="54">
        <v>0.10164906957552</v>
      </c>
    </row>
    <row r="607" spans="1:16">
      <c r="A607" t="s">
        <v>1741</v>
      </c>
      <c r="B607" t="s">
        <v>1411</v>
      </c>
      <c r="C607" t="s">
        <v>1742</v>
      </c>
      <c r="D607" t="s">
        <v>40</v>
      </c>
      <c r="E607" t="s">
        <v>262</v>
      </c>
      <c r="F607" t="s">
        <v>345</v>
      </c>
      <c r="G607">
        <v>1</v>
      </c>
      <c r="H607">
        <v>16434.76</v>
      </c>
      <c r="I607">
        <v>0.05</v>
      </c>
      <c r="J607">
        <v>15613.02</v>
      </c>
      <c r="K607">
        <v>1097.3</v>
      </c>
      <c r="L607">
        <v>2.3</v>
      </c>
      <c r="M607" s="53">
        <v>45544</v>
      </c>
      <c r="N607" t="s">
        <v>56</v>
      </c>
      <c r="O607" t="s">
        <v>57</v>
      </c>
      <c r="P607" s="54">
        <v>0.0702810859141921</v>
      </c>
    </row>
    <row r="608" spans="1:16">
      <c r="A608" t="s">
        <v>1743</v>
      </c>
      <c r="B608" t="s">
        <v>953</v>
      </c>
      <c r="C608" t="s">
        <v>1744</v>
      </c>
      <c r="D608" t="s">
        <v>19</v>
      </c>
      <c r="E608" t="s">
        <v>129</v>
      </c>
      <c r="F608" t="s">
        <v>320</v>
      </c>
      <c r="G608">
        <v>2</v>
      </c>
      <c r="H608">
        <v>10806.52</v>
      </c>
      <c r="I608">
        <v>0.1</v>
      </c>
      <c r="J608">
        <v>19451.74</v>
      </c>
      <c r="K608">
        <v>2057.65</v>
      </c>
      <c r="L608">
        <v>2.9</v>
      </c>
      <c r="M608" s="53">
        <v>45357</v>
      </c>
      <c r="N608" t="s">
        <v>30</v>
      </c>
      <c r="O608" t="s">
        <v>73</v>
      </c>
      <c r="P608" s="54">
        <v>0.105782310477109</v>
      </c>
    </row>
    <row r="609" spans="1:16">
      <c r="A609" t="s">
        <v>1745</v>
      </c>
      <c r="B609" t="s">
        <v>1211</v>
      </c>
      <c r="C609" t="s">
        <v>1746</v>
      </c>
      <c r="D609" t="s">
        <v>53</v>
      </c>
      <c r="E609" t="s">
        <v>71</v>
      </c>
      <c r="F609" t="s">
        <v>150</v>
      </c>
      <c r="G609">
        <v>4</v>
      </c>
      <c r="H609">
        <v>6670.86</v>
      </c>
      <c r="I609">
        <v>0</v>
      </c>
      <c r="J609">
        <v>26683.44</v>
      </c>
      <c r="K609">
        <v>2088.06</v>
      </c>
      <c r="L609">
        <v>4.7</v>
      </c>
      <c r="M609" s="53">
        <v>45255</v>
      </c>
      <c r="N609" t="s">
        <v>43</v>
      </c>
      <c r="O609" t="s">
        <v>23</v>
      </c>
      <c r="P609" s="54">
        <v>0.0782530288448566</v>
      </c>
    </row>
    <row r="610" spans="1:16">
      <c r="A610" t="s">
        <v>1747</v>
      </c>
      <c r="B610" t="s">
        <v>1234</v>
      </c>
      <c r="C610" t="s">
        <v>1748</v>
      </c>
      <c r="D610" t="s">
        <v>53</v>
      </c>
      <c r="E610" t="s">
        <v>100</v>
      </c>
      <c r="F610" t="s">
        <v>267</v>
      </c>
      <c r="G610">
        <v>3</v>
      </c>
      <c r="H610">
        <v>7848.85</v>
      </c>
      <c r="I610">
        <v>0.05</v>
      </c>
      <c r="J610">
        <v>22369.22</v>
      </c>
      <c r="K610">
        <v>2045.24</v>
      </c>
      <c r="L610">
        <v>4.9</v>
      </c>
      <c r="M610" s="53">
        <v>45216</v>
      </c>
      <c r="N610" t="s">
        <v>43</v>
      </c>
      <c r="O610" t="s">
        <v>23</v>
      </c>
      <c r="P610" s="54">
        <v>0.0914309931235868</v>
      </c>
    </row>
    <row r="611" spans="1:16">
      <c r="A611" t="s">
        <v>1749</v>
      </c>
      <c r="B611" t="s">
        <v>1750</v>
      </c>
      <c r="C611" t="s">
        <v>1751</v>
      </c>
      <c r="D611" t="s">
        <v>53</v>
      </c>
      <c r="E611" t="s">
        <v>95</v>
      </c>
      <c r="F611" t="s">
        <v>271</v>
      </c>
      <c r="G611">
        <v>5</v>
      </c>
      <c r="H611">
        <v>15452.09</v>
      </c>
      <c r="I611">
        <v>0</v>
      </c>
      <c r="J611">
        <v>77260.45</v>
      </c>
      <c r="K611">
        <v>14788.59</v>
      </c>
      <c r="L611">
        <v>3.2</v>
      </c>
      <c r="M611" s="53">
        <v>44966</v>
      </c>
      <c r="N611" t="s">
        <v>56</v>
      </c>
      <c r="O611" t="s">
        <v>57</v>
      </c>
      <c r="P611" s="54">
        <v>0.191412164956326</v>
      </c>
    </row>
    <row r="612" spans="1:16">
      <c r="A612" t="s">
        <v>1752</v>
      </c>
      <c r="B612" t="s">
        <v>1753</v>
      </c>
      <c r="C612" t="s">
        <v>1754</v>
      </c>
      <c r="D612" t="s">
        <v>53</v>
      </c>
      <c r="E612" t="s">
        <v>95</v>
      </c>
      <c r="F612" t="s">
        <v>96</v>
      </c>
      <c r="G612">
        <v>4</v>
      </c>
      <c r="H612">
        <v>15967.97</v>
      </c>
      <c r="I612">
        <v>0.15</v>
      </c>
      <c r="J612">
        <v>54291.1</v>
      </c>
      <c r="K612">
        <v>11486.1</v>
      </c>
      <c r="L612">
        <v>3.4</v>
      </c>
      <c r="M612" s="53">
        <v>45074</v>
      </c>
      <c r="N612" t="s">
        <v>22</v>
      </c>
      <c r="O612" t="s">
        <v>23</v>
      </c>
      <c r="P612" s="54">
        <v>0.211565063150314</v>
      </c>
    </row>
    <row r="613" spans="1:16">
      <c r="A613" t="s">
        <v>1755</v>
      </c>
      <c r="B613" t="s">
        <v>660</v>
      </c>
      <c r="C613" t="s">
        <v>1756</v>
      </c>
      <c r="D613" t="s">
        <v>53</v>
      </c>
      <c r="E613" t="s">
        <v>100</v>
      </c>
      <c r="F613" t="s">
        <v>271</v>
      </c>
      <c r="G613">
        <v>5</v>
      </c>
      <c r="H613">
        <v>17311.43</v>
      </c>
      <c r="I613">
        <v>0.15</v>
      </c>
      <c r="J613">
        <v>73573.58</v>
      </c>
      <c r="K613">
        <v>17311.31</v>
      </c>
      <c r="L613">
        <v>2</v>
      </c>
      <c r="M613" s="53">
        <v>45139</v>
      </c>
      <c r="N613" t="s">
        <v>30</v>
      </c>
      <c r="O613" t="s">
        <v>44</v>
      </c>
      <c r="P613" s="54">
        <v>0.235292478631596</v>
      </c>
    </row>
    <row r="614" spans="1:16">
      <c r="A614" t="s">
        <v>1757</v>
      </c>
      <c r="B614" t="s">
        <v>1758</v>
      </c>
      <c r="C614" t="s">
        <v>1759</v>
      </c>
      <c r="D614" t="s">
        <v>53</v>
      </c>
      <c r="E614" t="s">
        <v>100</v>
      </c>
      <c r="F614" t="s">
        <v>229</v>
      </c>
      <c r="G614">
        <v>3</v>
      </c>
      <c r="H614">
        <v>19998.93</v>
      </c>
      <c r="I614">
        <v>0.1</v>
      </c>
      <c r="J614">
        <v>53997.11</v>
      </c>
      <c r="K614">
        <v>5497.32</v>
      </c>
      <c r="L614">
        <v>4.9</v>
      </c>
      <c r="M614" s="53">
        <v>44942</v>
      </c>
      <c r="N614" t="s">
        <v>43</v>
      </c>
      <c r="O614" t="s">
        <v>44</v>
      </c>
      <c r="P614" s="54">
        <v>0.101807670817938</v>
      </c>
    </row>
    <row r="615" spans="1:16">
      <c r="A615" t="s">
        <v>1760</v>
      </c>
      <c r="B615" t="s">
        <v>33</v>
      </c>
      <c r="C615" t="s">
        <v>146</v>
      </c>
      <c r="D615" t="s">
        <v>53</v>
      </c>
      <c r="E615" t="s">
        <v>95</v>
      </c>
      <c r="F615" t="s">
        <v>96</v>
      </c>
      <c r="G615">
        <v>2</v>
      </c>
      <c r="H615">
        <v>2074.24</v>
      </c>
      <c r="I615">
        <v>0.15</v>
      </c>
      <c r="J615">
        <v>3526.21</v>
      </c>
      <c r="K615">
        <v>361.71</v>
      </c>
      <c r="L615">
        <v>3.5</v>
      </c>
      <c r="M615" s="53">
        <v>45633</v>
      </c>
      <c r="N615" t="s">
        <v>43</v>
      </c>
      <c r="O615" t="s">
        <v>31</v>
      </c>
      <c r="P615" s="54">
        <v>0.102577554938588</v>
      </c>
    </row>
    <row r="616" spans="1:16">
      <c r="A616" t="s">
        <v>1761</v>
      </c>
      <c r="B616" t="s">
        <v>1762</v>
      </c>
      <c r="C616" t="s">
        <v>1763</v>
      </c>
      <c r="D616" t="s">
        <v>40</v>
      </c>
      <c r="E616" t="s">
        <v>41</v>
      </c>
      <c r="F616" t="s">
        <v>154</v>
      </c>
      <c r="G616">
        <v>3</v>
      </c>
      <c r="H616">
        <v>11936.35</v>
      </c>
      <c r="I616">
        <v>0.15</v>
      </c>
      <c r="J616">
        <v>30437.69</v>
      </c>
      <c r="K616">
        <v>6417.62</v>
      </c>
      <c r="L616">
        <v>3.5</v>
      </c>
      <c r="M616" s="53">
        <v>45636</v>
      </c>
      <c r="N616" t="s">
        <v>30</v>
      </c>
      <c r="O616" t="s">
        <v>31</v>
      </c>
      <c r="P616" s="54">
        <v>0.210844515467501</v>
      </c>
    </row>
    <row r="617" spans="1:16">
      <c r="A617" t="s">
        <v>1764</v>
      </c>
      <c r="B617" t="s">
        <v>1765</v>
      </c>
      <c r="C617" t="s">
        <v>1766</v>
      </c>
      <c r="D617" t="s">
        <v>53</v>
      </c>
      <c r="E617" t="s">
        <v>54</v>
      </c>
      <c r="F617" t="s">
        <v>258</v>
      </c>
      <c r="G617">
        <v>1</v>
      </c>
      <c r="H617">
        <v>2409.54</v>
      </c>
      <c r="I617">
        <v>0.1</v>
      </c>
      <c r="J617">
        <v>2168.59</v>
      </c>
      <c r="K617">
        <v>190.43</v>
      </c>
      <c r="L617">
        <v>4.7</v>
      </c>
      <c r="M617" s="53">
        <v>45339</v>
      </c>
      <c r="N617" t="s">
        <v>30</v>
      </c>
      <c r="O617" t="s">
        <v>23</v>
      </c>
      <c r="P617" s="54">
        <v>0.087812818467299</v>
      </c>
    </row>
    <row r="618" spans="1:16">
      <c r="A618" t="s">
        <v>1767</v>
      </c>
      <c r="B618" t="s">
        <v>1768</v>
      </c>
      <c r="C618" t="s">
        <v>248</v>
      </c>
      <c r="D618" t="s">
        <v>19</v>
      </c>
      <c r="E618" t="s">
        <v>35</v>
      </c>
      <c r="F618" t="s">
        <v>121</v>
      </c>
      <c r="G618">
        <v>3</v>
      </c>
      <c r="H618">
        <v>9932.58</v>
      </c>
      <c r="I618">
        <v>0</v>
      </c>
      <c r="J618">
        <v>29797.74</v>
      </c>
      <c r="K618">
        <v>7030.48</v>
      </c>
      <c r="L618">
        <v>2.6</v>
      </c>
      <c r="M618" s="53">
        <v>45194</v>
      </c>
      <c r="N618" t="s">
        <v>30</v>
      </c>
      <c r="O618" t="s">
        <v>57</v>
      </c>
      <c r="P618" s="54">
        <v>0.235940041090365</v>
      </c>
    </row>
    <row r="619" spans="1:16">
      <c r="A619" t="s">
        <v>1769</v>
      </c>
      <c r="B619" t="s">
        <v>1770</v>
      </c>
      <c r="C619" t="s">
        <v>1771</v>
      </c>
      <c r="D619" t="s">
        <v>27</v>
      </c>
      <c r="E619" t="s">
        <v>233</v>
      </c>
      <c r="F619" t="s">
        <v>234</v>
      </c>
      <c r="G619">
        <v>4</v>
      </c>
      <c r="H619">
        <v>8138.56</v>
      </c>
      <c r="I619">
        <v>0.1</v>
      </c>
      <c r="J619">
        <v>29298.82</v>
      </c>
      <c r="K619">
        <v>2716.8</v>
      </c>
      <c r="L619">
        <v>3</v>
      </c>
      <c r="M619" s="53">
        <v>45326</v>
      </c>
      <c r="N619" t="s">
        <v>22</v>
      </c>
      <c r="O619" t="s">
        <v>44</v>
      </c>
      <c r="P619" s="54">
        <v>0.0927272838974402</v>
      </c>
    </row>
    <row r="620" spans="1:16">
      <c r="A620" t="s">
        <v>1772</v>
      </c>
      <c r="B620" t="s">
        <v>889</v>
      </c>
      <c r="C620" t="s">
        <v>1773</v>
      </c>
      <c r="D620" t="s">
        <v>40</v>
      </c>
      <c r="E620" t="s">
        <v>81</v>
      </c>
      <c r="F620" t="s">
        <v>358</v>
      </c>
      <c r="G620">
        <v>1</v>
      </c>
      <c r="H620">
        <v>2823.05</v>
      </c>
      <c r="I620">
        <v>0.15</v>
      </c>
      <c r="J620">
        <v>2399.59</v>
      </c>
      <c r="K620">
        <v>596.19</v>
      </c>
      <c r="L620">
        <v>4.5</v>
      </c>
      <c r="M620" s="53">
        <v>44988</v>
      </c>
      <c r="N620" t="s">
        <v>22</v>
      </c>
      <c r="O620" t="s">
        <v>57</v>
      </c>
      <c r="P620" s="54">
        <v>0.248454944386333</v>
      </c>
    </row>
    <row r="621" spans="1:16">
      <c r="A621" t="s">
        <v>1774</v>
      </c>
      <c r="B621" t="s">
        <v>1164</v>
      </c>
      <c r="C621" t="s">
        <v>1775</v>
      </c>
      <c r="D621" t="s">
        <v>19</v>
      </c>
      <c r="E621" t="s">
        <v>35</v>
      </c>
      <c r="F621" t="s">
        <v>245</v>
      </c>
      <c r="G621">
        <v>5</v>
      </c>
      <c r="H621">
        <v>17745.58</v>
      </c>
      <c r="I621">
        <v>0</v>
      </c>
      <c r="J621">
        <v>88727.9</v>
      </c>
      <c r="K621">
        <v>5279.09</v>
      </c>
      <c r="L621">
        <v>4.1</v>
      </c>
      <c r="M621" s="53">
        <v>45553</v>
      </c>
      <c r="N621" t="s">
        <v>56</v>
      </c>
      <c r="O621" t="s">
        <v>31</v>
      </c>
      <c r="P621" s="54">
        <v>0.0594975199458119</v>
      </c>
    </row>
    <row r="622" spans="1:16">
      <c r="A622" t="s">
        <v>1776</v>
      </c>
      <c r="B622" t="s">
        <v>1468</v>
      </c>
      <c r="C622" t="s">
        <v>1777</v>
      </c>
      <c r="D622" t="s">
        <v>53</v>
      </c>
      <c r="E622" t="s">
        <v>54</v>
      </c>
      <c r="F622" t="s">
        <v>55</v>
      </c>
      <c r="G622">
        <v>4</v>
      </c>
      <c r="H622">
        <v>978.7</v>
      </c>
      <c r="I622">
        <v>0.1</v>
      </c>
      <c r="J622">
        <v>3523.32</v>
      </c>
      <c r="K622">
        <v>466.61</v>
      </c>
      <c r="L622">
        <v>4.9</v>
      </c>
      <c r="M622" s="53">
        <v>45565</v>
      </c>
      <c r="N622" t="s">
        <v>56</v>
      </c>
      <c r="O622" t="s">
        <v>57</v>
      </c>
      <c r="P622" s="54">
        <v>0.132434749043516</v>
      </c>
    </row>
    <row r="623" spans="1:16">
      <c r="A623" t="s">
        <v>1778</v>
      </c>
      <c r="B623" t="s">
        <v>1779</v>
      </c>
      <c r="C623" t="s">
        <v>1780</v>
      </c>
      <c r="D623" t="s">
        <v>40</v>
      </c>
      <c r="E623" t="s">
        <v>262</v>
      </c>
      <c r="F623" t="s">
        <v>773</v>
      </c>
      <c r="G623">
        <v>1</v>
      </c>
      <c r="H623">
        <v>11833.12</v>
      </c>
      <c r="I623">
        <v>0.05</v>
      </c>
      <c r="J623">
        <v>11241.46</v>
      </c>
      <c r="K623">
        <v>2260.56</v>
      </c>
      <c r="L623">
        <v>4.5</v>
      </c>
      <c r="M623" s="53">
        <v>45398</v>
      </c>
      <c r="N623" t="s">
        <v>22</v>
      </c>
      <c r="O623" t="s">
        <v>31</v>
      </c>
      <c r="P623" s="54">
        <v>0.201091317319992</v>
      </c>
    </row>
    <row r="624" spans="1:16">
      <c r="A624" t="s">
        <v>1781</v>
      </c>
      <c r="B624" t="s">
        <v>1782</v>
      </c>
      <c r="C624" t="s">
        <v>1783</v>
      </c>
      <c r="D624" t="s">
        <v>27</v>
      </c>
      <c r="E624" t="s">
        <v>233</v>
      </c>
      <c r="F624" t="s">
        <v>234</v>
      </c>
      <c r="G624">
        <v>3</v>
      </c>
      <c r="H624">
        <v>7221.83</v>
      </c>
      <c r="I624">
        <v>0.2</v>
      </c>
      <c r="J624">
        <v>17332.39</v>
      </c>
      <c r="K624">
        <v>2992.52</v>
      </c>
      <c r="L624">
        <v>1.4</v>
      </c>
      <c r="M624" s="53">
        <v>45574</v>
      </c>
      <c r="N624" t="s">
        <v>22</v>
      </c>
      <c r="O624" t="s">
        <v>23</v>
      </c>
      <c r="P624" s="54">
        <v>0.172654781019813</v>
      </c>
    </row>
    <row r="625" spans="1:16">
      <c r="A625" t="s">
        <v>1784</v>
      </c>
      <c r="B625" t="s">
        <v>1520</v>
      </c>
      <c r="C625" t="s">
        <v>1785</v>
      </c>
      <c r="D625" t="s">
        <v>19</v>
      </c>
      <c r="E625" t="s">
        <v>35</v>
      </c>
      <c r="F625" t="s">
        <v>36</v>
      </c>
      <c r="G625">
        <v>4</v>
      </c>
      <c r="H625">
        <v>6782.92</v>
      </c>
      <c r="I625">
        <v>0.15</v>
      </c>
      <c r="J625">
        <v>23061.93</v>
      </c>
      <c r="K625">
        <v>3144.72</v>
      </c>
      <c r="L625">
        <v>1.2</v>
      </c>
      <c r="M625" s="53">
        <v>45346</v>
      </c>
      <c r="N625" t="s">
        <v>56</v>
      </c>
      <c r="O625" t="s">
        <v>73</v>
      </c>
      <c r="P625" s="54">
        <v>0.136359792957484</v>
      </c>
    </row>
    <row r="626" spans="1:16">
      <c r="A626" t="s">
        <v>1786</v>
      </c>
      <c r="B626" t="s">
        <v>127</v>
      </c>
      <c r="C626" t="s">
        <v>1787</v>
      </c>
      <c r="D626" t="s">
        <v>40</v>
      </c>
      <c r="E626" t="s">
        <v>262</v>
      </c>
      <c r="F626" t="s">
        <v>345</v>
      </c>
      <c r="G626">
        <v>3</v>
      </c>
      <c r="H626">
        <v>2857.08</v>
      </c>
      <c r="I626">
        <v>0</v>
      </c>
      <c r="J626">
        <v>8571.24</v>
      </c>
      <c r="K626">
        <v>614.63</v>
      </c>
      <c r="L626">
        <v>3.5</v>
      </c>
      <c r="M626" s="53">
        <v>45304</v>
      </c>
      <c r="N626" t="s">
        <v>56</v>
      </c>
      <c r="O626" t="s">
        <v>57</v>
      </c>
      <c r="P626" s="54">
        <v>0.0717084109183735</v>
      </c>
    </row>
    <row r="627" spans="1:16">
      <c r="A627" t="s">
        <v>1788</v>
      </c>
      <c r="B627" t="s">
        <v>1789</v>
      </c>
      <c r="C627" t="s">
        <v>1790</v>
      </c>
      <c r="D627" t="s">
        <v>40</v>
      </c>
      <c r="E627" t="s">
        <v>41</v>
      </c>
      <c r="F627" t="s">
        <v>125</v>
      </c>
      <c r="G627">
        <v>5</v>
      </c>
      <c r="H627">
        <v>8618.68</v>
      </c>
      <c r="I627">
        <v>0.1</v>
      </c>
      <c r="J627">
        <v>38784.06</v>
      </c>
      <c r="K627">
        <v>8639.37</v>
      </c>
      <c r="L627">
        <v>4.3</v>
      </c>
      <c r="M627" s="53">
        <v>45513</v>
      </c>
      <c r="N627" t="s">
        <v>43</v>
      </c>
      <c r="O627" t="s">
        <v>31</v>
      </c>
      <c r="P627" s="54">
        <v>0.222755688806174</v>
      </c>
    </row>
    <row r="628" spans="1:16">
      <c r="A628" t="s">
        <v>1791</v>
      </c>
      <c r="B628" t="s">
        <v>1090</v>
      </c>
      <c r="C628" t="s">
        <v>1792</v>
      </c>
      <c r="D628" t="s">
        <v>19</v>
      </c>
      <c r="E628" t="s">
        <v>20</v>
      </c>
      <c r="F628" t="s">
        <v>121</v>
      </c>
      <c r="G628">
        <v>5</v>
      </c>
      <c r="H628">
        <v>16366.96</v>
      </c>
      <c r="I628">
        <v>0.2</v>
      </c>
      <c r="J628">
        <v>65467.84</v>
      </c>
      <c r="K628">
        <v>9599.53</v>
      </c>
      <c r="L628">
        <v>3</v>
      </c>
      <c r="M628" s="53">
        <v>45240</v>
      </c>
      <c r="N628" t="s">
        <v>43</v>
      </c>
      <c r="O628" t="s">
        <v>23</v>
      </c>
      <c r="P628" s="54">
        <v>0.146629703989012</v>
      </c>
    </row>
    <row r="629" spans="1:16">
      <c r="A629" t="s">
        <v>1793</v>
      </c>
      <c r="B629" t="s">
        <v>1222</v>
      </c>
      <c r="C629" t="s">
        <v>1794</v>
      </c>
      <c r="D629" t="s">
        <v>40</v>
      </c>
      <c r="E629" t="s">
        <v>41</v>
      </c>
      <c r="F629" t="s">
        <v>125</v>
      </c>
      <c r="G629">
        <v>5</v>
      </c>
      <c r="H629">
        <v>1039.13</v>
      </c>
      <c r="I629">
        <v>0.05</v>
      </c>
      <c r="J629">
        <v>4935.87</v>
      </c>
      <c r="K629">
        <v>971.79</v>
      </c>
      <c r="L629">
        <v>3</v>
      </c>
      <c r="M629" s="53">
        <v>45372</v>
      </c>
      <c r="N629" t="s">
        <v>43</v>
      </c>
      <c r="O629" t="s">
        <v>73</v>
      </c>
      <c r="P629" s="54">
        <v>0.196883224234026</v>
      </c>
    </row>
    <row r="630" spans="1:16">
      <c r="A630" t="s">
        <v>1795</v>
      </c>
      <c r="B630" t="s">
        <v>51</v>
      </c>
      <c r="C630" t="s">
        <v>1796</v>
      </c>
      <c r="D630" t="s">
        <v>27</v>
      </c>
      <c r="E630" t="s">
        <v>28</v>
      </c>
      <c r="F630" t="s">
        <v>105</v>
      </c>
      <c r="G630">
        <v>5</v>
      </c>
      <c r="H630">
        <v>17435.06</v>
      </c>
      <c r="I630">
        <v>0.05</v>
      </c>
      <c r="J630">
        <v>82816.54</v>
      </c>
      <c r="K630">
        <v>16470.91</v>
      </c>
      <c r="L630">
        <v>4.2</v>
      </c>
      <c r="M630" s="53">
        <v>45182</v>
      </c>
      <c r="N630" t="s">
        <v>43</v>
      </c>
      <c r="O630" t="s">
        <v>44</v>
      </c>
      <c r="P630" s="54">
        <v>0.198884304995113</v>
      </c>
    </row>
    <row r="631" spans="1:16">
      <c r="A631" t="s">
        <v>1797</v>
      </c>
      <c r="B631" t="s">
        <v>288</v>
      </c>
      <c r="C631" t="s">
        <v>1798</v>
      </c>
      <c r="D631" t="s">
        <v>19</v>
      </c>
      <c r="E631" t="s">
        <v>20</v>
      </c>
      <c r="F631" t="s">
        <v>121</v>
      </c>
      <c r="G631">
        <v>5</v>
      </c>
      <c r="H631">
        <v>11233.98</v>
      </c>
      <c r="I631">
        <v>0.05</v>
      </c>
      <c r="J631">
        <v>53361.4</v>
      </c>
      <c r="K631">
        <v>8242.54</v>
      </c>
      <c r="L631">
        <v>4</v>
      </c>
      <c r="M631" s="53">
        <v>45312</v>
      </c>
      <c r="N631" t="s">
        <v>56</v>
      </c>
      <c r="O631" t="s">
        <v>57</v>
      </c>
      <c r="P631" s="54">
        <v>0.154466337090106</v>
      </c>
    </row>
    <row r="632" spans="1:16">
      <c r="A632" t="s">
        <v>1799</v>
      </c>
      <c r="B632" t="s">
        <v>820</v>
      </c>
      <c r="C632" t="s">
        <v>1800</v>
      </c>
      <c r="D632" t="s">
        <v>40</v>
      </c>
      <c r="E632" t="s">
        <v>81</v>
      </c>
      <c r="F632" t="s">
        <v>358</v>
      </c>
      <c r="G632">
        <v>1</v>
      </c>
      <c r="H632">
        <v>5328.9</v>
      </c>
      <c r="I632">
        <v>0.1</v>
      </c>
      <c r="J632">
        <v>4796.01</v>
      </c>
      <c r="K632">
        <v>803</v>
      </c>
      <c r="L632">
        <v>2.7</v>
      </c>
      <c r="M632" s="53">
        <v>44962</v>
      </c>
      <c r="N632" t="s">
        <v>56</v>
      </c>
      <c r="O632" t="s">
        <v>73</v>
      </c>
      <c r="P632" s="54">
        <v>0.167430843555372</v>
      </c>
    </row>
    <row r="633" spans="1:16">
      <c r="A633" t="s">
        <v>1801</v>
      </c>
      <c r="B633" t="s">
        <v>145</v>
      </c>
      <c r="C633" t="s">
        <v>1802</v>
      </c>
      <c r="D633" t="s">
        <v>40</v>
      </c>
      <c r="E633" t="s">
        <v>262</v>
      </c>
      <c r="F633" t="s">
        <v>263</v>
      </c>
      <c r="G633">
        <v>5</v>
      </c>
      <c r="H633">
        <v>11703.64</v>
      </c>
      <c r="I633">
        <v>0.2</v>
      </c>
      <c r="J633">
        <v>46814.56</v>
      </c>
      <c r="K633">
        <v>8638.44</v>
      </c>
      <c r="L633">
        <v>3</v>
      </c>
      <c r="M633" s="53">
        <v>45290</v>
      </c>
      <c r="N633" t="s">
        <v>30</v>
      </c>
      <c r="O633" t="s">
        <v>57</v>
      </c>
      <c r="P633" s="54">
        <v>0.184524643615149</v>
      </c>
    </row>
    <row r="634" spans="1:16">
      <c r="A634" t="s">
        <v>1803</v>
      </c>
      <c r="B634" t="s">
        <v>1804</v>
      </c>
      <c r="C634" t="s">
        <v>1805</v>
      </c>
      <c r="D634" t="s">
        <v>27</v>
      </c>
      <c r="E634" t="s">
        <v>28</v>
      </c>
      <c r="F634" t="s">
        <v>29</v>
      </c>
      <c r="G634">
        <v>3</v>
      </c>
      <c r="H634">
        <v>5588.29</v>
      </c>
      <c r="I634">
        <v>0.05</v>
      </c>
      <c r="J634">
        <v>15926.63</v>
      </c>
      <c r="K634">
        <v>2149.93</v>
      </c>
      <c r="L634">
        <v>3.7</v>
      </c>
      <c r="M634" s="53">
        <v>45347</v>
      </c>
      <c r="N634" t="s">
        <v>30</v>
      </c>
      <c r="O634" t="s">
        <v>31</v>
      </c>
      <c r="P634" s="54">
        <v>0.134989636853496</v>
      </c>
    </row>
    <row r="635" spans="1:16">
      <c r="A635" t="s">
        <v>1806</v>
      </c>
      <c r="B635" t="s">
        <v>1093</v>
      </c>
      <c r="C635" t="s">
        <v>1807</v>
      </c>
      <c r="D635" t="s">
        <v>40</v>
      </c>
      <c r="E635" t="s">
        <v>81</v>
      </c>
      <c r="F635" t="s">
        <v>82</v>
      </c>
      <c r="G635">
        <v>2</v>
      </c>
      <c r="H635">
        <v>12398.61</v>
      </c>
      <c r="I635">
        <v>0</v>
      </c>
      <c r="J635">
        <v>24797.22</v>
      </c>
      <c r="K635">
        <v>4531.18</v>
      </c>
      <c r="L635">
        <v>3.2</v>
      </c>
      <c r="M635" s="53">
        <v>44957</v>
      </c>
      <c r="N635" t="s">
        <v>22</v>
      </c>
      <c r="O635" t="s">
        <v>23</v>
      </c>
      <c r="P635" s="54">
        <v>0.182729354338914</v>
      </c>
    </row>
    <row r="636" spans="1:16">
      <c r="A636" t="s">
        <v>1808</v>
      </c>
      <c r="B636" t="s">
        <v>1809</v>
      </c>
      <c r="C636" t="s">
        <v>1810</v>
      </c>
      <c r="D636" t="s">
        <v>40</v>
      </c>
      <c r="E636" t="s">
        <v>262</v>
      </c>
      <c r="F636" t="s">
        <v>263</v>
      </c>
      <c r="G636">
        <v>5</v>
      </c>
      <c r="H636">
        <v>13887.99</v>
      </c>
      <c r="I636">
        <v>0.2</v>
      </c>
      <c r="J636">
        <v>55551.96</v>
      </c>
      <c r="K636">
        <v>10966.1</v>
      </c>
      <c r="L636">
        <v>2.8</v>
      </c>
      <c r="M636" s="53">
        <v>45261</v>
      </c>
      <c r="N636" t="s">
        <v>30</v>
      </c>
      <c r="O636" t="s">
        <v>23</v>
      </c>
      <c r="P636" s="54">
        <v>0.197402575894712</v>
      </c>
    </row>
    <row r="637" spans="1:16">
      <c r="A637" t="s">
        <v>1811</v>
      </c>
      <c r="B637" t="s">
        <v>581</v>
      </c>
      <c r="C637" t="s">
        <v>1812</v>
      </c>
      <c r="D637" t="s">
        <v>53</v>
      </c>
      <c r="E637" t="s">
        <v>54</v>
      </c>
      <c r="F637" t="s">
        <v>258</v>
      </c>
      <c r="G637">
        <v>1</v>
      </c>
      <c r="H637">
        <v>3348.15</v>
      </c>
      <c r="I637">
        <v>0.05</v>
      </c>
      <c r="J637">
        <v>3180.74</v>
      </c>
      <c r="K637">
        <v>176.26</v>
      </c>
      <c r="L637">
        <v>2.6</v>
      </c>
      <c r="M637" s="53">
        <v>45332</v>
      </c>
      <c r="N637" t="s">
        <v>22</v>
      </c>
      <c r="O637" t="s">
        <v>23</v>
      </c>
      <c r="P637" s="54">
        <v>0.0554147776932412</v>
      </c>
    </row>
    <row r="638" spans="1:16">
      <c r="A638" t="s">
        <v>1813</v>
      </c>
      <c r="B638" t="s">
        <v>1814</v>
      </c>
      <c r="C638" t="s">
        <v>1815</v>
      </c>
      <c r="D638" t="s">
        <v>27</v>
      </c>
      <c r="E638" t="s">
        <v>28</v>
      </c>
      <c r="F638" t="s">
        <v>105</v>
      </c>
      <c r="G638">
        <v>5</v>
      </c>
      <c r="H638">
        <v>8294.94</v>
      </c>
      <c r="I638">
        <v>0.15</v>
      </c>
      <c r="J638">
        <v>35253.5</v>
      </c>
      <c r="K638">
        <v>6385.57</v>
      </c>
      <c r="L638">
        <v>1.3</v>
      </c>
      <c r="M638" s="53">
        <v>45400</v>
      </c>
      <c r="N638" t="s">
        <v>56</v>
      </c>
      <c r="O638" t="s">
        <v>44</v>
      </c>
      <c r="P638" s="54">
        <v>0.181132937155176</v>
      </c>
    </row>
    <row r="639" spans="1:16">
      <c r="A639" t="s">
        <v>1816</v>
      </c>
      <c r="B639" t="s">
        <v>973</v>
      </c>
      <c r="C639" t="s">
        <v>1817</v>
      </c>
      <c r="D639" t="s">
        <v>27</v>
      </c>
      <c r="E639" t="s">
        <v>48</v>
      </c>
      <c r="F639" t="s">
        <v>583</v>
      </c>
      <c r="G639">
        <v>1</v>
      </c>
      <c r="H639">
        <v>17982.75</v>
      </c>
      <c r="I639">
        <v>0.2</v>
      </c>
      <c r="J639">
        <v>14386.2</v>
      </c>
      <c r="K639">
        <v>3391.64</v>
      </c>
      <c r="L639">
        <v>3.6</v>
      </c>
      <c r="M639" s="53">
        <v>45343</v>
      </c>
      <c r="N639" t="s">
        <v>43</v>
      </c>
      <c r="O639" t="s">
        <v>73</v>
      </c>
      <c r="P639" s="54">
        <v>0.235756488857377</v>
      </c>
    </row>
    <row r="640" spans="1:16">
      <c r="A640" t="s">
        <v>1818</v>
      </c>
      <c r="B640" t="s">
        <v>1819</v>
      </c>
      <c r="C640" t="s">
        <v>1820</v>
      </c>
      <c r="D640" t="s">
        <v>27</v>
      </c>
      <c r="E640" t="s">
        <v>28</v>
      </c>
      <c r="F640" t="s">
        <v>29</v>
      </c>
      <c r="G640">
        <v>4</v>
      </c>
      <c r="H640">
        <v>15083.19</v>
      </c>
      <c r="I640">
        <v>0</v>
      </c>
      <c r="J640">
        <v>60332.76</v>
      </c>
      <c r="K640">
        <v>7884.27</v>
      </c>
      <c r="L640">
        <v>1.7</v>
      </c>
      <c r="M640" s="53">
        <v>45160</v>
      </c>
      <c r="N640" t="s">
        <v>43</v>
      </c>
      <c r="O640" t="s">
        <v>44</v>
      </c>
      <c r="P640" s="54">
        <v>0.130679750105913</v>
      </c>
    </row>
    <row r="641" spans="1:16">
      <c r="A641" t="s">
        <v>1821</v>
      </c>
      <c r="B641" t="s">
        <v>877</v>
      </c>
      <c r="C641" t="s">
        <v>1822</v>
      </c>
      <c r="D641" t="s">
        <v>27</v>
      </c>
      <c r="E641" t="s">
        <v>48</v>
      </c>
      <c r="F641" t="s">
        <v>64</v>
      </c>
      <c r="G641">
        <v>3</v>
      </c>
      <c r="H641">
        <v>8323.98</v>
      </c>
      <c r="I641">
        <v>0.2</v>
      </c>
      <c r="J641">
        <v>19977.55</v>
      </c>
      <c r="K641">
        <v>3457.17</v>
      </c>
      <c r="L641">
        <v>2.3</v>
      </c>
      <c r="M641" s="53">
        <v>45494</v>
      </c>
      <c r="N641" t="s">
        <v>30</v>
      </c>
      <c r="O641" t="s">
        <v>31</v>
      </c>
      <c r="P641" s="54">
        <v>0.173052751713799</v>
      </c>
    </row>
    <row r="642" spans="1:16">
      <c r="A642" t="s">
        <v>1823</v>
      </c>
      <c r="B642" t="s">
        <v>837</v>
      </c>
      <c r="C642" t="s">
        <v>1824</v>
      </c>
      <c r="D642" t="s">
        <v>53</v>
      </c>
      <c r="E642" t="s">
        <v>100</v>
      </c>
      <c r="F642" t="s">
        <v>101</v>
      </c>
      <c r="G642">
        <v>1</v>
      </c>
      <c r="H642">
        <v>11123.99</v>
      </c>
      <c r="I642">
        <v>0.05</v>
      </c>
      <c r="J642">
        <v>10567.79</v>
      </c>
      <c r="K642">
        <v>2521.37</v>
      </c>
      <c r="L642">
        <v>1.5</v>
      </c>
      <c r="M642" s="53">
        <v>45464</v>
      </c>
      <c r="N642" t="s">
        <v>43</v>
      </c>
      <c r="O642" t="s">
        <v>31</v>
      </c>
      <c r="P642" s="54">
        <v>0.238590093103667</v>
      </c>
    </row>
    <row r="643" spans="1:16">
      <c r="A643" t="s">
        <v>1825</v>
      </c>
      <c r="B643" t="s">
        <v>1826</v>
      </c>
      <c r="C643" t="s">
        <v>1827</v>
      </c>
      <c r="D643" t="s">
        <v>19</v>
      </c>
      <c r="E643" t="s">
        <v>129</v>
      </c>
      <c r="F643" t="s">
        <v>167</v>
      </c>
      <c r="G643">
        <v>2</v>
      </c>
      <c r="H643">
        <v>17602.57</v>
      </c>
      <c r="I643">
        <v>0.05</v>
      </c>
      <c r="J643">
        <v>33444.88</v>
      </c>
      <c r="K643">
        <v>2182.53</v>
      </c>
      <c r="L643">
        <v>4.7</v>
      </c>
      <c r="M643" s="53">
        <v>45074</v>
      </c>
      <c r="N643" t="s">
        <v>56</v>
      </c>
      <c r="O643" t="s">
        <v>57</v>
      </c>
      <c r="P643" s="54">
        <v>0.0652575222276175</v>
      </c>
    </row>
    <row r="644" spans="1:16">
      <c r="A644" t="s">
        <v>1828</v>
      </c>
      <c r="B644" t="s">
        <v>673</v>
      </c>
      <c r="C644" t="s">
        <v>1829</v>
      </c>
      <c r="D644" t="s">
        <v>53</v>
      </c>
      <c r="E644" t="s">
        <v>95</v>
      </c>
      <c r="F644" t="s">
        <v>524</v>
      </c>
      <c r="G644">
        <v>1</v>
      </c>
      <c r="H644">
        <v>4480.17</v>
      </c>
      <c r="I644">
        <v>0.05</v>
      </c>
      <c r="J644">
        <v>4256.16</v>
      </c>
      <c r="K644">
        <v>545.81</v>
      </c>
      <c r="L644">
        <v>2.1</v>
      </c>
      <c r="M644" s="53">
        <v>45319</v>
      </c>
      <c r="N644" t="s">
        <v>43</v>
      </c>
      <c r="O644" t="s">
        <v>31</v>
      </c>
      <c r="P644" s="54">
        <v>0.128240009774069</v>
      </c>
    </row>
    <row r="645" spans="1:16">
      <c r="A645" t="s">
        <v>1830</v>
      </c>
      <c r="B645" t="s">
        <v>1124</v>
      </c>
      <c r="C645" t="s">
        <v>1831</v>
      </c>
      <c r="D645" t="s">
        <v>19</v>
      </c>
      <c r="E645" t="s">
        <v>86</v>
      </c>
      <c r="F645" t="s">
        <v>87</v>
      </c>
      <c r="G645">
        <v>3</v>
      </c>
      <c r="H645">
        <v>1918.12</v>
      </c>
      <c r="I645">
        <v>0.05</v>
      </c>
      <c r="J645">
        <v>5466.64</v>
      </c>
      <c r="K645">
        <v>1164.06</v>
      </c>
      <c r="L645">
        <v>2.2</v>
      </c>
      <c r="M645" s="53">
        <v>45521</v>
      </c>
      <c r="N645" t="s">
        <v>56</v>
      </c>
      <c r="O645" t="s">
        <v>73</v>
      </c>
      <c r="P645" s="54">
        <v>0.212938843604115</v>
      </c>
    </row>
    <row r="646" spans="1:16">
      <c r="A646" t="s">
        <v>1832</v>
      </c>
      <c r="B646" t="s">
        <v>1833</v>
      </c>
      <c r="C646" t="s">
        <v>1834</v>
      </c>
      <c r="D646" t="s">
        <v>53</v>
      </c>
      <c r="E646" t="s">
        <v>95</v>
      </c>
      <c r="F646" t="s">
        <v>96</v>
      </c>
      <c r="G646">
        <v>5</v>
      </c>
      <c r="H646">
        <v>9925.5</v>
      </c>
      <c r="I646">
        <v>0.15</v>
      </c>
      <c r="J646">
        <v>42183.38</v>
      </c>
      <c r="K646">
        <v>9645.56</v>
      </c>
      <c r="L646">
        <v>3.8</v>
      </c>
      <c r="M646" s="53">
        <v>45157</v>
      </c>
      <c r="N646" t="s">
        <v>30</v>
      </c>
      <c r="O646" t="s">
        <v>31</v>
      </c>
      <c r="P646" s="54">
        <v>0.22865782685029</v>
      </c>
    </row>
    <row r="647" spans="1:16">
      <c r="A647" t="s">
        <v>1835</v>
      </c>
      <c r="B647" t="s">
        <v>1836</v>
      </c>
      <c r="C647" t="s">
        <v>1837</v>
      </c>
      <c r="D647" t="s">
        <v>40</v>
      </c>
      <c r="E647" t="s">
        <v>174</v>
      </c>
      <c r="F647" t="s">
        <v>313</v>
      </c>
      <c r="G647">
        <v>4</v>
      </c>
      <c r="H647">
        <v>10308.14</v>
      </c>
      <c r="I647">
        <v>0.2</v>
      </c>
      <c r="J647">
        <v>32986.05</v>
      </c>
      <c r="K647">
        <v>3125.88</v>
      </c>
      <c r="L647">
        <v>2.7</v>
      </c>
      <c r="M647" s="53">
        <v>45243</v>
      </c>
      <c r="N647" t="s">
        <v>43</v>
      </c>
      <c r="O647" t="s">
        <v>73</v>
      </c>
      <c r="P647" s="54">
        <v>0.0947636955622149</v>
      </c>
    </row>
    <row r="648" spans="1:16">
      <c r="A648" t="s">
        <v>1838</v>
      </c>
      <c r="B648" t="s">
        <v>1839</v>
      </c>
      <c r="C648" t="s">
        <v>1840</v>
      </c>
      <c r="D648" t="s">
        <v>19</v>
      </c>
      <c r="E648" t="s">
        <v>20</v>
      </c>
      <c r="F648" t="s">
        <v>134</v>
      </c>
      <c r="G648">
        <v>3</v>
      </c>
      <c r="H648">
        <v>18958.69</v>
      </c>
      <c r="I648">
        <v>0.15</v>
      </c>
      <c r="J648">
        <v>48344.66</v>
      </c>
      <c r="K648">
        <v>2839.74</v>
      </c>
      <c r="L648">
        <v>3.6</v>
      </c>
      <c r="M648" s="53">
        <v>45623</v>
      </c>
      <c r="N648" t="s">
        <v>30</v>
      </c>
      <c r="O648" t="s">
        <v>44</v>
      </c>
      <c r="P648" s="54">
        <v>0.0587394760869143</v>
      </c>
    </row>
    <row r="649" spans="1:16">
      <c r="A649" t="s">
        <v>1841</v>
      </c>
      <c r="B649" t="s">
        <v>877</v>
      </c>
      <c r="C649" t="s">
        <v>1842</v>
      </c>
      <c r="D649" t="s">
        <v>53</v>
      </c>
      <c r="E649" t="s">
        <v>54</v>
      </c>
      <c r="F649" t="s">
        <v>249</v>
      </c>
      <c r="G649">
        <v>5</v>
      </c>
      <c r="H649">
        <v>13598.02</v>
      </c>
      <c r="I649">
        <v>0.05</v>
      </c>
      <c r="J649">
        <v>64590.6</v>
      </c>
      <c r="K649">
        <v>12061.75</v>
      </c>
      <c r="L649">
        <v>1</v>
      </c>
      <c r="M649" s="53">
        <v>45046</v>
      </c>
      <c r="N649" t="s">
        <v>56</v>
      </c>
      <c r="O649" t="s">
        <v>44</v>
      </c>
      <c r="P649" s="54">
        <v>0.186741569206665</v>
      </c>
    </row>
    <row r="650" spans="1:16">
      <c r="A650" t="s">
        <v>1843</v>
      </c>
      <c r="B650" t="s">
        <v>1844</v>
      </c>
      <c r="C650" t="s">
        <v>1845</v>
      </c>
      <c r="D650" t="s">
        <v>53</v>
      </c>
      <c r="E650" t="s">
        <v>71</v>
      </c>
      <c r="F650" t="s">
        <v>72</v>
      </c>
      <c r="G650">
        <v>5</v>
      </c>
      <c r="H650">
        <v>4304.5</v>
      </c>
      <c r="I650">
        <v>0.15</v>
      </c>
      <c r="J650">
        <v>18294.12</v>
      </c>
      <c r="K650">
        <v>3663.74</v>
      </c>
      <c r="L650">
        <v>2.3</v>
      </c>
      <c r="M650" s="53">
        <v>45522</v>
      </c>
      <c r="N650" t="s">
        <v>30</v>
      </c>
      <c r="O650" t="s">
        <v>23</v>
      </c>
      <c r="P650" s="54">
        <v>0.200268720222673</v>
      </c>
    </row>
    <row r="651" spans="1:16">
      <c r="A651" t="s">
        <v>1846</v>
      </c>
      <c r="B651" t="s">
        <v>676</v>
      </c>
      <c r="C651" t="s">
        <v>1847</v>
      </c>
      <c r="D651" t="s">
        <v>53</v>
      </c>
      <c r="E651" t="s">
        <v>100</v>
      </c>
      <c r="F651" t="s">
        <v>271</v>
      </c>
      <c r="G651">
        <v>1</v>
      </c>
      <c r="H651">
        <v>944.91</v>
      </c>
      <c r="I651">
        <v>0.1</v>
      </c>
      <c r="J651">
        <v>850.42</v>
      </c>
      <c r="K651">
        <v>194.44</v>
      </c>
      <c r="L651">
        <v>4.7</v>
      </c>
      <c r="M651" s="53">
        <v>44955</v>
      </c>
      <c r="N651" t="s">
        <v>30</v>
      </c>
      <c r="O651" t="s">
        <v>57</v>
      </c>
      <c r="P651" s="54">
        <v>0.228639966134381</v>
      </c>
    </row>
    <row r="652" spans="1:16">
      <c r="A652" t="s">
        <v>1848</v>
      </c>
      <c r="B652" t="s">
        <v>1849</v>
      </c>
      <c r="C652" t="s">
        <v>1850</v>
      </c>
      <c r="D652" t="s">
        <v>19</v>
      </c>
      <c r="E652" t="s">
        <v>20</v>
      </c>
      <c r="F652" t="s">
        <v>454</v>
      </c>
      <c r="G652">
        <v>2</v>
      </c>
      <c r="H652">
        <v>6964.87</v>
      </c>
      <c r="I652">
        <v>0.1</v>
      </c>
      <c r="J652">
        <v>12536.77</v>
      </c>
      <c r="K652">
        <v>1794.05</v>
      </c>
      <c r="L652">
        <v>2.3</v>
      </c>
      <c r="M652" s="53">
        <v>44988</v>
      </c>
      <c r="N652" t="s">
        <v>43</v>
      </c>
      <c r="O652" t="s">
        <v>44</v>
      </c>
      <c r="P652" s="54">
        <v>0.143103048073786</v>
      </c>
    </row>
    <row r="653" spans="1:16">
      <c r="A653" t="s">
        <v>1851</v>
      </c>
      <c r="B653" t="s">
        <v>404</v>
      </c>
      <c r="C653" t="s">
        <v>1852</v>
      </c>
      <c r="D653" t="s">
        <v>40</v>
      </c>
      <c r="E653" t="s">
        <v>41</v>
      </c>
      <c r="F653" t="s">
        <v>91</v>
      </c>
      <c r="G653">
        <v>1</v>
      </c>
      <c r="H653">
        <v>3017.53</v>
      </c>
      <c r="I653">
        <v>0.2</v>
      </c>
      <c r="J653">
        <v>2414.02</v>
      </c>
      <c r="K653">
        <v>292.87</v>
      </c>
      <c r="L653">
        <v>2.5</v>
      </c>
      <c r="M653" s="53">
        <v>44996</v>
      </c>
      <c r="N653" t="s">
        <v>30</v>
      </c>
      <c r="O653" t="s">
        <v>31</v>
      </c>
      <c r="P653" s="54">
        <v>0.121320453020273</v>
      </c>
    </row>
    <row r="654" spans="1:16">
      <c r="A654" t="s">
        <v>1853</v>
      </c>
      <c r="B654" t="s">
        <v>1854</v>
      </c>
      <c r="C654" t="s">
        <v>1288</v>
      </c>
      <c r="D654" t="s">
        <v>19</v>
      </c>
      <c r="E654" t="s">
        <v>86</v>
      </c>
      <c r="F654" t="s">
        <v>113</v>
      </c>
      <c r="G654">
        <v>5</v>
      </c>
      <c r="H654">
        <v>9624.88</v>
      </c>
      <c r="I654">
        <v>0.15</v>
      </c>
      <c r="J654">
        <v>40905.74</v>
      </c>
      <c r="K654">
        <v>3703.58</v>
      </c>
      <c r="L654">
        <v>5</v>
      </c>
      <c r="M654" s="53">
        <v>45274</v>
      </c>
      <c r="N654" t="s">
        <v>43</v>
      </c>
      <c r="O654" t="s">
        <v>23</v>
      </c>
      <c r="P654" s="54">
        <v>0.0905393717360938</v>
      </c>
    </row>
    <row r="655" spans="1:16">
      <c r="A655" t="s">
        <v>1855</v>
      </c>
      <c r="B655" t="s">
        <v>1856</v>
      </c>
      <c r="C655" t="s">
        <v>1857</v>
      </c>
      <c r="D655" t="s">
        <v>40</v>
      </c>
      <c r="E655" t="s">
        <v>174</v>
      </c>
      <c r="F655" t="s">
        <v>175</v>
      </c>
      <c r="G655">
        <v>3</v>
      </c>
      <c r="H655">
        <v>16700.39</v>
      </c>
      <c r="I655">
        <v>0.2</v>
      </c>
      <c r="J655">
        <v>40080.94</v>
      </c>
      <c r="K655">
        <v>4318.12</v>
      </c>
      <c r="L655">
        <v>1.6</v>
      </c>
      <c r="M655" s="53">
        <v>45117</v>
      </c>
      <c r="N655" t="s">
        <v>22</v>
      </c>
      <c r="O655" t="s">
        <v>57</v>
      </c>
      <c r="P655" s="54">
        <v>0.107734998231079</v>
      </c>
    </row>
    <row r="656" spans="1:16">
      <c r="A656" t="s">
        <v>1858</v>
      </c>
      <c r="B656" t="s">
        <v>1859</v>
      </c>
      <c r="C656" t="s">
        <v>1860</v>
      </c>
      <c r="D656" t="s">
        <v>40</v>
      </c>
      <c r="E656" t="s">
        <v>41</v>
      </c>
      <c r="F656" t="s">
        <v>42</v>
      </c>
      <c r="G656">
        <v>1</v>
      </c>
      <c r="H656">
        <v>4031.58</v>
      </c>
      <c r="I656">
        <v>0.1</v>
      </c>
      <c r="J656">
        <v>3628.42</v>
      </c>
      <c r="K656">
        <v>279.64</v>
      </c>
      <c r="L656">
        <v>1.6</v>
      </c>
      <c r="M656" s="53">
        <v>45042</v>
      </c>
      <c r="N656" t="s">
        <v>22</v>
      </c>
      <c r="O656" t="s">
        <v>73</v>
      </c>
      <c r="P656" s="54">
        <v>0.0770693580125785</v>
      </c>
    </row>
    <row r="657" spans="1:16">
      <c r="A657" t="s">
        <v>1861</v>
      </c>
      <c r="B657" t="s">
        <v>1113</v>
      </c>
      <c r="C657" t="s">
        <v>1845</v>
      </c>
      <c r="D657" t="s">
        <v>40</v>
      </c>
      <c r="E657" t="s">
        <v>174</v>
      </c>
      <c r="F657" t="s">
        <v>175</v>
      </c>
      <c r="G657">
        <v>4</v>
      </c>
      <c r="H657">
        <v>6114.57</v>
      </c>
      <c r="I657">
        <v>0.05</v>
      </c>
      <c r="J657">
        <v>23235.37</v>
      </c>
      <c r="K657">
        <v>5273.06</v>
      </c>
      <c r="L657">
        <v>1</v>
      </c>
      <c r="M657" s="53">
        <v>45120</v>
      </c>
      <c r="N657" t="s">
        <v>30</v>
      </c>
      <c r="O657" t="s">
        <v>44</v>
      </c>
      <c r="P657" s="54">
        <v>0.226941081635455</v>
      </c>
    </row>
    <row r="658" spans="1:16">
      <c r="A658" t="s">
        <v>1862</v>
      </c>
      <c r="B658" t="s">
        <v>1113</v>
      </c>
      <c r="C658" t="s">
        <v>1863</v>
      </c>
      <c r="D658" t="s">
        <v>27</v>
      </c>
      <c r="E658" t="s">
        <v>48</v>
      </c>
      <c r="F658" t="s">
        <v>49</v>
      </c>
      <c r="G658">
        <v>3</v>
      </c>
      <c r="H658">
        <v>19083.34</v>
      </c>
      <c r="I658">
        <v>0.15</v>
      </c>
      <c r="J658">
        <v>48662.52</v>
      </c>
      <c r="K658">
        <v>6641.91</v>
      </c>
      <c r="L658">
        <v>2.3</v>
      </c>
      <c r="M658" s="53">
        <v>45470</v>
      </c>
      <c r="N658" t="s">
        <v>56</v>
      </c>
      <c r="O658" t="s">
        <v>57</v>
      </c>
      <c r="P658" s="54">
        <v>0.13648923237021</v>
      </c>
    </row>
    <row r="659" spans="1:16">
      <c r="A659" t="s">
        <v>1864</v>
      </c>
      <c r="B659" t="s">
        <v>1865</v>
      </c>
      <c r="C659" t="s">
        <v>1866</v>
      </c>
      <c r="D659" t="s">
        <v>19</v>
      </c>
      <c r="E659" t="s">
        <v>20</v>
      </c>
      <c r="F659" t="s">
        <v>21</v>
      </c>
      <c r="G659">
        <v>5</v>
      </c>
      <c r="H659">
        <v>16980.61</v>
      </c>
      <c r="I659">
        <v>0.15</v>
      </c>
      <c r="J659">
        <v>72167.59</v>
      </c>
      <c r="K659">
        <v>4781.54</v>
      </c>
      <c r="L659">
        <v>3.2</v>
      </c>
      <c r="M659" s="53">
        <v>45537</v>
      </c>
      <c r="N659" t="s">
        <v>56</v>
      </c>
      <c r="O659" t="s">
        <v>44</v>
      </c>
      <c r="P659" s="54">
        <v>0.0662560576014801</v>
      </c>
    </row>
    <row r="660" spans="1:16">
      <c r="A660" t="s">
        <v>1867</v>
      </c>
      <c r="B660" t="s">
        <v>282</v>
      </c>
      <c r="C660" t="s">
        <v>1466</v>
      </c>
      <c r="D660" t="s">
        <v>19</v>
      </c>
      <c r="E660" t="s">
        <v>20</v>
      </c>
      <c r="F660" t="s">
        <v>134</v>
      </c>
      <c r="G660">
        <v>1</v>
      </c>
      <c r="H660">
        <v>13817.55</v>
      </c>
      <c r="I660">
        <v>0.2</v>
      </c>
      <c r="J660">
        <v>11054.04</v>
      </c>
      <c r="K660">
        <v>1106.12</v>
      </c>
      <c r="L660">
        <v>4.8</v>
      </c>
      <c r="M660" s="53">
        <v>45270</v>
      </c>
      <c r="N660" t="s">
        <v>22</v>
      </c>
      <c r="O660" t="s">
        <v>57</v>
      </c>
      <c r="P660" s="54">
        <v>0.100064772698488</v>
      </c>
    </row>
    <row r="661" spans="1:16">
      <c r="A661" t="s">
        <v>1868</v>
      </c>
      <c r="B661" t="s">
        <v>894</v>
      </c>
      <c r="C661" t="s">
        <v>1869</v>
      </c>
      <c r="D661" t="s">
        <v>40</v>
      </c>
      <c r="E661" t="s">
        <v>81</v>
      </c>
      <c r="F661" t="s">
        <v>263</v>
      </c>
      <c r="G661">
        <v>4</v>
      </c>
      <c r="H661">
        <v>5451.51</v>
      </c>
      <c r="I661">
        <v>0.05</v>
      </c>
      <c r="J661">
        <v>20715.74</v>
      </c>
      <c r="K661">
        <v>2487.45</v>
      </c>
      <c r="L661">
        <v>2</v>
      </c>
      <c r="M661" s="53">
        <v>45047</v>
      </c>
      <c r="N661" t="s">
        <v>56</v>
      </c>
      <c r="O661" t="s">
        <v>31</v>
      </c>
      <c r="P661" s="54">
        <v>0.120075362984861</v>
      </c>
    </row>
    <row r="662" spans="1:16">
      <c r="A662" t="s">
        <v>1870</v>
      </c>
      <c r="B662" t="s">
        <v>1411</v>
      </c>
      <c r="C662" t="s">
        <v>1871</v>
      </c>
      <c r="D662" t="s">
        <v>19</v>
      </c>
      <c r="E662" t="s">
        <v>129</v>
      </c>
      <c r="F662" t="s">
        <v>320</v>
      </c>
      <c r="G662">
        <v>2</v>
      </c>
      <c r="H662">
        <v>2278.3</v>
      </c>
      <c r="I662">
        <v>0</v>
      </c>
      <c r="J662">
        <v>4556.6</v>
      </c>
      <c r="K662">
        <v>764.55</v>
      </c>
      <c r="L662">
        <v>2.1</v>
      </c>
      <c r="M662" s="53">
        <v>45563</v>
      </c>
      <c r="N662" t="s">
        <v>43</v>
      </c>
      <c r="O662" t="s">
        <v>57</v>
      </c>
      <c r="P662" s="54">
        <v>0.167789579949963</v>
      </c>
    </row>
    <row r="663" spans="1:16">
      <c r="A663" t="s">
        <v>1872</v>
      </c>
      <c r="B663" t="s">
        <v>1873</v>
      </c>
      <c r="C663" t="s">
        <v>1874</v>
      </c>
      <c r="D663" t="s">
        <v>40</v>
      </c>
      <c r="E663" t="s">
        <v>41</v>
      </c>
      <c r="F663" t="s">
        <v>91</v>
      </c>
      <c r="G663">
        <v>4</v>
      </c>
      <c r="H663">
        <v>10451.18</v>
      </c>
      <c r="I663">
        <v>0.15</v>
      </c>
      <c r="J663">
        <v>35534.01</v>
      </c>
      <c r="K663">
        <v>6901.13</v>
      </c>
      <c r="L663">
        <v>1.3</v>
      </c>
      <c r="M663" s="53">
        <v>45430</v>
      </c>
      <c r="N663" t="s">
        <v>43</v>
      </c>
      <c r="O663" t="s">
        <v>73</v>
      </c>
      <c r="P663" s="54">
        <v>0.194211967633262</v>
      </c>
    </row>
    <row r="664" spans="1:16">
      <c r="A664" t="s">
        <v>1875</v>
      </c>
      <c r="B664" t="s">
        <v>1876</v>
      </c>
      <c r="C664" t="s">
        <v>1877</v>
      </c>
      <c r="D664" t="s">
        <v>19</v>
      </c>
      <c r="E664" t="s">
        <v>86</v>
      </c>
      <c r="F664" t="s">
        <v>87</v>
      </c>
      <c r="G664">
        <v>2</v>
      </c>
      <c r="H664">
        <v>7469.84</v>
      </c>
      <c r="I664">
        <v>0.15</v>
      </c>
      <c r="J664">
        <v>12698.73</v>
      </c>
      <c r="K664">
        <v>2287.75</v>
      </c>
      <c r="L664">
        <v>4.4</v>
      </c>
      <c r="M664" s="53">
        <v>45217</v>
      </c>
      <c r="N664" t="s">
        <v>56</v>
      </c>
      <c r="O664" t="s">
        <v>23</v>
      </c>
      <c r="P664" s="54">
        <v>0.180155810856676</v>
      </c>
    </row>
    <row r="665" spans="1:16">
      <c r="A665" t="s">
        <v>1878</v>
      </c>
      <c r="B665" t="s">
        <v>1260</v>
      </c>
      <c r="C665" t="s">
        <v>1879</v>
      </c>
      <c r="D665" t="s">
        <v>27</v>
      </c>
      <c r="E665" t="s">
        <v>28</v>
      </c>
      <c r="F665" t="s">
        <v>225</v>
      </c>
      <c r="G665">
        <v>4</v>
      </c>
      <c r="H665">
        <v>8122.84</v>
      </c>
      <c r="I665">
        <v>0.05</v>
      </c>
      <c r="J665">
        <v>30866.79</v>
      </c>
      <c r="K665">
        <v>1734.93</v>
      </c>
      <c r="L665">
        <v>4.5</v>
      </c>
      <c r="M665" s="53">
        <v>44944</v>
      </c>
      <c r="N665" t="s">
        <v>30</v>
      </c>
      <c r="O665" t="s">
        <v>31</v>
      </c>
      <c r="P665" s="54">
        <v>0.0562070108359178</v>
      </c>
    </row>
    <row r="666" spans="1:16">
      <c r="A666" t="s">
        <v>1880</v>
      </c>
      <c r="B666" t="s">
        <v>1881</v>
      </c>
      <c r="C666" t="s">
        <v>1882</v>
      </c>
      <c r="D666" t="s">
        <v>40</v>
      </c>
      <c r="E666" t="s">
        <v>41</v>
      </c>
      <c r="F666" t="s">
        <v>154</v>
      </c>
      <c r="G666">
        <v>2</v>
      </c>
      <c r="H666">
        <v>2028.95</v>
      </c>
      <c r="I666">
        <v>0.1</v>
      </c>
      <c r="J666">
        <v>3652.11</v>
      </c>
      <c r="K666">
        <v>837.05</v>
      </c>
      <c r="L666">
        <v>1.8</v>
      </c>
      <c r="M666" s="53">
        <v>45148</v>
      </c>
      <c r="N666" t="s">
        <v>56</v>
      </c>
      <c r="O666" t="s">
        <v>31</v>
      </c>
      <c r="P666" s="54">
        <v>0.229196272839537</v>
      </c>
    </row>
    <row r="667" spans="1:16">
      <c r="A667" t="s">
        <v>1883</v>
      </c>
      <c r="B667" t="s">
        <v>1884</v>
      </c>
      <c r="C667" t="s">
        <v>1885</v>
      </c>
      <c r="D667" t="s">
        <v>53</v>
      </c>
      <c r="E667" t="s">
        <v>54</v>
      </c>
      <c r="F667" t="s">
        <v>109</v>
      </c>
      <c r="G667">
        <v>4</v>
      </c>
      <c r="H667">
        <v>8720.61</v>
      </c>
      <c r="I667">
        <v>0.2</v>
      </c>
      <c r="J667">
        <v>27905.95</v>
      </c>
      <c r="K667">
        <v>6859.96</v>
      </c>
      <c r="L667">
        <v>4.6</v>
      </c>
      <c r="M667" s="53">
        <v>45297</v>
      </c>
      <c r="N667" t="s">
        <v>43</v>
      </c>
      <c r="O667" t="s">
        <v>23</v>
      </c>
      <c r="P667" s="54">
        <v>0.245824277618214</v>
      </c>
    </row>
    <row r="668" spans="1:16">
      <c r="A668" t="s">
        <v>1886</v>
      </c>
      <c r="B668" t="s">
        <v>465</v>
      </c>
      <c r="C668" t="s">
        <v>1887</v>
      </c>
      <c r="D668" t="s">
        <v>53</v>
      </c>
      <c r="E668" t="s">
        <v>95</v>
      </c>
      <c r="F668" t="s">
        <v>524</v>
      </c>
      <c r="G668">
        <v>3</v>
      </c>
      <c r="H668">
        <v>7277.74</v>
      </c>
      <c r="I668">
        <v>0.2</v>
      </c>
      <c r="J668">
        <v>17466.58</v>
      </c>
      <c r="K668">
        <v>2141.55</v>
      </c>
      <c r="L668">
        <v>5</v>
      </c>
      <c r="M668" s="53">
        <v>45586</v>
      </c>
      <c r="N668" t="s">
        <v>56</v>
      </c>
      <c r="O668" t="s">
        <v>73</v>
      </c>
      <c r="P668" s="54">
        <v>0.122608432789934</v>
      </c>
    </row>
    <row r="669" spans="1:16">
      <c r="A669" t="s">
        <v>1888</v>
      </c>
      <c r="B669" t="s">
        <v>558</v>
      </c>
      <c r="C669" t="s">
        <v>1889</v>
      </c>
      <c r="D669" t="s">
        <v>19</v>
      </c>
      <c r="E669" t="s">
        <v>20</v>
      </c>
      <c r="F669" t="s">
        <v>121</v>
      </c>
      <c r="G669">
        <v>3</v>
      </c>
      <c r="H669">
        <v>13127.15</v>
      </c>
      <c r="I669">
        <v>0.1</v>
      </c>
      <c r="J669">
        <v>35443.31</v>
      </c>
      <c r="K669">
        <v>3246.63</v>
      </c>
      <c r="L669">
        <v>2.2</v>
      </c>
      <c r="M669" s="53">
        <v>45267</v>
      </c>
      <c r="N669" t="s">
        <v>30</v>
      </c>
      <c r="O669" t="s">
        <v>73</v>
      </c>
      <c r="P669" s="54">
        <v>0.0916006433936334</v>
      </c>
    </row>
    <row r="670" spans="1:16">
      <c r="A670" t="s">
        <v>1890</v>
      </c>
      <c r="B670" t="s">
        <v>1667</v>
      </c>
      <c r="C670" t="s">
        <v>1891</v>
      </c>
      <c r="D670" t="s">
        <v>27</v>
      </c>
      <c r="E670" t="s">
        <v>233</v>
      </c>
      <c r="F670" t="s">
        <v>234</v>
      </c>
      <c r="G670">
        <v>2</v>
      </c>
      <c r="H670">
        <v>4977.61</v>
      </c>
      <c r="I670">
        <v>0.15</v>
      </c>
      <c r="J670">
        <v>8461.94</v>
      </c>
      <c r="K670">
        <v>1884.67</v>
      </c>
      <c r="L670">
        <v>4.3</v>
      </c>
      <c r="M670" s="53">
        <v>45221</v>
      </c>
      <c r="N670" t="s">
        <v>30</v>
      </c>
      <c r="O670" t="s">
        <v>31</v>
      </c>
      <c r="P670" s="54">
        <v>0.2227231580465</v>
      </c>
    </row>
    <row r="671" spans="1:16">
      <c r="A671" t="s">
        <v>1892</v>
      </c>
      <c r="B671" t="s">
        <v>1893</v>
      </c>
      <c r="C671" t="s">
        <v>1894</v>
      </c>
      <c r="D671" t="s">
        <v>19</v>
      </c>
      <c r="E671" t="s">
        <v>129</v>
      </c>
      <c r="F671" t="s">
        <v>130</v>
      </c>
      <c r="G671">
        <v>4</v>
      </c>
      <c r="H671">
        <v>2989.13</v>
      </c>
      <c r="I671">
        <v>0</v>
      </c>
      <c r="J671">
        <v>11956.52</v>
      </c>
      <c r="K671">
        <v>2771.69</v>
      </c>
      <c r="L671">
        <v>3.5</v>
      </c>
      <c r="M671" s="53">
        <v>45154</v>
      </c>
      <c r="N671" t="s">
        <v>30</v>
      </c>
      <c r="O671" t="s">
        <v>23</v>
      </c>
      <c r="P671" s="54">
        <v>0.231814106445688</v>
      </c>
    </row>
    <row r="672" spans="1:16">
      <c r="A672" t="s">
        <v>1895</v>
      </c>
      <c r="B672" t="s">
        <v>660</v>
      </c>
      <c r="C672" t="s">
        <v>1896</v>
      </c>
      <c r="D672" t="s">
        <v>40</v>
      </c>
      <c r="E672" t="s">
        <v>41</v>
      </c>
      <c r="F672" t="s">
        <v>42</v>
      </c>
      <c r="G672">
        <v>5</v>
      </c>
      <c r="H672">
        <v>4340.9</v>
      </c>
      <c r="I672">
        <v>0.2</v>
      </c>
      <c r="J672">
        <v>17363.6</v>
      </c>
      <c r="K672">
        <v>3807.21</v>
      </c>
      <c r="L672">
        <v>4.7</v>
      </c>
      <c r="M672" s="53">
        <v>45407</v>
      </c>
      <c r="N672" t="s">
        <v>43</v>
      </c>
      <c r="O672" t="s">
        <v>31</v>
      </c>
      <c r="P672" s="54">
        <v>0.219263862332696</v>
      </c>
    </row>
    <row r="673" spans="1:16">
      <c r="A673" t="s">
        <v>1897</v>
      </c>
      <c r="B673" t="s">
        <v>1898</v>
      </c>
      <c r="C673" t="s">
        <v>393</v>
      </c>
      <c r="D673" t="s">
        <v>27</v>
      </c>
      <c r="E673" t="s">
        <v>28</v>
      </c>
      <c r="F673" t="s">
        <v>225</v>
      </c>
      <c r="G673">
        <v>4</v>
      </c>
      <c r="H673">
        <v>14752.53</v>
      </c>
      <c r="I673">
        <v>0.15</v>
      </c>
      <c r="J673">
        <v>50158.6</v>
      </c>
      <c r="K673">
        <v>8328.18</v>
      </c>
      <c r="L673">
        <v>2.2</v>
      </c>
      <c r="M673" s="53">
        <v>45261</v>
      </c>
      <c r="N673" t="s">
        <v>43</v>
      </c>
      <c r="O673" t="s">
        <v>57</v>
      </c>
      <c r="P673" s="54">
        <v>0.166036930855327</v>
      </c>
    </row>
    <row r="674" spans="1:16">
      <c r="A674" t="s">
        <v>1899</v>
      </c>
      <c r="B674" t="s">
        <v>194</v>
      </c>
      <c r="C674" t="s">
        <v>1900</v>
      </c>
      <c r="D674" t="s">
        <v>40</v>
      </c>
      <c r="E674" t="s">
        <v>262</v>
      </c>
      <c r="F674" t="s">
        <v>263</v>
      </c>
      <c r="G674">
        <v>1</v>
      </c>
      <c r="H674">
        <v>8377.11</v>
      </c>
      <c r="I674">
        <v>0.15</v>
      </c>
      <c r="J674">
        <v>7120.54</v>
      </c>
      <c r="K674">
        <v>375.16</v>
      </c>
      <c r="L674">
        <v>4.2</v>
      </c>
      <c r="M674" s="53">
        <v>45084</v>
      </c>
      <c r="N674" t="s">
        <v>43</v>
      </c>
      <c r="O674" t="s">
        <v>31</v>
      </c>
      <c r="P674" s="54">
        <v>0.0526870153106365</v>
      </c>
    </row>
    <row r="675" spans="1:16">
      <c r="A675" t="s">
        <v>1901</v>
      </c>
      <c r="B675" t="s">
        <v>1902</v>
      </c>
      <c r="C675" t="s">
        <v>1903</v>
      </c>
      <c r="D675" t="s">
        <v>27</v>
      </c>
      <c r="E675" t="s">
        <v>233</v>
      </c>
      <c r="F675" t="s">
        <v>606</v>
      </c>
      <c r="G675">
        <v>1</v>
      </c>
      <c r="H675">
        <v>15897.03</v>
      </c>
      <c r="I675">
        <v>0.15</v>
      </c>
      <c r="J675">
        <v>13512.48</v>
      </c>
      <c r="K675">
        <v>1445.61</v>
      </c>
      <c r="L675">
        <v>1.6</v>
      </c>
      <c r="M675" s="53">
        <v>45079</v>
      </c>
      <c r="N675" t="s">
        <v>56</v>
      </c>
      <c r="O675" t="s">
        <v>44</v>
      </c>
      <c r="P675" s="54">
        <v>0.106983322084473</v>
      </c>
    </row>
    <row r="676" spans="1:16">
      <c r="A676" t="s">
        <v>1904</v>
      </c>
      <c r="B676" t="s">
        <v>1905</v>
      </c>
      <c r="C676" t="s">
        <v>918</v>
      </c>
      <c r="D676" t="s">
        <v>40</v>
      </c>
      <c r="E676" t="s">
        <v>174</v>
      </c>
      <c r="F676" t="s">
        <v>175</v>
      </c>
      <c r="G676">
        <v>2</v>
      </c>
      <c r="H676">
        <v>13664.3</v>
      </c>
      <c r="I676">
        <v>0.1</v>
      </c>
      <c r="J676">
        <v>24595.74</v>
      </c>
      <c r="K676">
        <v>5167.13</v>
      </c>
      <c r="L676">
        <v>2.1</v>
      </c>
      <c r="M676" s="53">
        <v>45309</v>
      </c>
      <c r="N676" t="s">
        <v>30</v>
      </c>
      <c r="O676" t="s">
        <v>57</v>
      </c>
      <c r="P676" s="54">
        <v>0.210082315067569</v>
      </c>
    </row>
    <row r="677" spans="1:16">
      <c r="A677" t="s">
        <v>1906</v>
      </c>
      <c r="B677" t="s">
        <v>408</v>
      </c>
      <c r="C677" t="s">
        <v>1907</v>
      </c>
      <c r="D677" t="s">
        <v>19</v>
      </c>
      <c r="E677" t="s">
        <v>20</v>
      </c>
      <c r="F677" t="s">
        <v>21</v>
      </c>
      <c r="G677">
        <v>4</v>
      </c>
      <c r="H677">
        <v>18879.72</v>
      </c>
      <c r="I677">
        <v>0.2</v>
      </c>
      <c r="J677">
        <v>60415.1</v>
      </c>
      <c r="K677">
        <v>3273.06</v>
      </c>
      <c r="L677">
        <v>4.6</v>
      </c>
      <c r="M677" s="53">
        <v>45225</v>
      </c>
      <c r="N677" t="s">
        <v>30</v>
      </c>
      <c r="O677" t="s">
        <v>44</v>
      </c>
      <c r="P677" s="54">
        <v>0.0541761910515748</v>
      </c>
    </row>
    <row r="678" spans="1:16">
      <c r="A678" t="s">
        <v>1908</v>
      </c>
      <c r="B678" t="s">
        <v>1254</v>
      </c>
      <c r="C678" t="s">
        <v>1909</v>
      </c>
      <c r="D678" t="s">
        <v>40</v>
      </c>
      <c r="E678" t="s">
        <v>174</v>
      </c>
      <c r="F678" t="s">
        <v>175</v>
      </c>
      <c r="G678">
        <v>2</v>
      </c>
      <c r="H678">
        <v>3109.18</v>
      </c>
      <c r="I678">
        <v>0.15</v>
      </c>
      <c r="J678">
        <v>5285.61</v>
      </c>
      <c r="K678">
        <v>537.07</v>
      </c>
      <c r="L678">
        <v>4.2</v>
      </c>
      <c r="M678" s="53">
        <v>45180</v>
      </c>
      <c r="N678" t="s">
        <v>30</v>
      </c>
      <c r="O678" t="s">
        <v>44</v>
      </c>
      <c r="P678" s="54">
        <v>0.10160984257257</v>
      </c>
    </row>
    <row r="679" spans="1:16">
      <c r="A679" t="s">
        <v>1910</v>
      </c>
      <c r="B679" t="s">
        <v>1911</v>
      </c>
      <c r="C679" t="s">
        <v>1912</v>
      </c>
      <c r="D679" t="s">
        <v>40</v>
      </c>
      <c r="E679" t="s">
        <v>174</v>
      </c>
      <c r="F679" t="s">
        <v>313</v>
      </c>
      <c r="G679">
        <v>2</v>
      </c>
      <c r="H679">
        <v>2996.28</v>
      </c>
      <c r="I679">
        <v>0</v>
      </c>
      <c r="J679">
        <v>5992.56</v>
      </c>
      <c r="K679">
        <v>418.24</v>
      </c>
      <c r="L679">
        <v>3</v>
      </c>
      <c r="M679" s="53">
        <v>45274</v>
      </c>
      <c r="N679" t="s">
        <v>43</v>
      </c>
      <c r="O679" t="s">
        <v>44</v>
      </c>
      <c r="P679" s="54">
        <v>0.0697932102473734</v>
      </c>
    </row>
    <row r="680" spans="1:16">
      <c r="A680" t="s">
        <v>1913</v>
      </c>
      <c r="B680" t="s">
        <v>1914</v>
      </c>
      <c r="C680" t="s">
        <v>1915</v>
      </c>
      <c r="D680" t="s">
        <v>53</v>
      </c>
      <c r="E680" t="s">
        <v>71</v>
      </c>
      <c r="F680" t="s">
        <v>406</v>
      </c>
      <c r="G680">
        <v>2</v>
      </c>
      <c r="H680">
        <v>1015.36</v>
      </c>
      <c r="I680">
        <v>0.1</v>
      </c>
      <c r="J680">
        <v>1827.65</v>
      </c>
      <c r="K680">
        <v>331.71</v>
      </c>
      <c r="L680">
        <v>2.1</v>
      </c>
      <c r="M680" s="53">
        <v>45526</v>
      </c>
      <c r="N680" t="s">
        <v>22</v>
      </c>
      <c r="O680" t="s">
        <v>23</v>
      </c>
      <c r="P680" s="54">
        <v>0.18149536289771</v>
      </c>
    </row>
    <row r="681" spans="1:16">
      <c r="A681" t="s">
        <v>1916</v>
      </c>
      <c r="B681" t="s">
        <v>93</v>
      </c>
      <c r="C681" t="s">
        <v>1917</v>
      </c>
      <c r="D681" t="s">
        <v>53</v>
      </c>
      <c r="E681" t="s">
        <v>95</v>
      </c>
      <c r="F681" t="s">
        <v>96</v>
      </c>
      <c r="G681">
        <v>4</v>
      </c>
      <c r="H681">
        <v>12800.36</v>
      </c>
      <c r="I681">
        <v>0.1</v>
      </c>
      <c r="J681">
        <v>46081.3</v>
      </c>
      <c r="K681">
        <v>9227.02</v>
      </c>
      <c r="L681">
        <v>1.3</v>
      </c>
      <c r="M681" s="53">
        <v>45426</v>
      </c>
      <c r="N681" t="s">
        <v>43</v>
      </c>
      <c r="O681" t="s">
        <v>57</v>
      </c>
      <c r="P681" s="54">
        <v>0.200233500356978</v>
      </c>
    </row>
    <row r="682" spans="1:16">
      <c r="A682" t="s">
        <v>1918</v>
      </c>
      <c r="B682" t="s">
        <v>1919</v>
      </c>
      <c r="C682" t="s">
        <v>1920</v>
      </c>
      <c r="D682" t="s">
        <v>19</v>
      </c>
      <c r="E682" t="s">
        <v>35</v>
      </c>
      <c r="F682" t="s">
        <v>36</v>
      </c>
      <c r="G682">
        <v>4</v>
      </c>
      <c r="H682">
        <v>5409.12</v>
      </c>
      <c r="I682">
        <v>0.05</v>
      </c>
      <c r="J682">
        <v>20554.66</v>
      </c>
      <c r="K682">
        <v>1912.32</v>
      </c>
      <c r="L682">
        <v>4.4</v>
      </c>
      <c r="M682" s="53">
        <v>44973</v>
      </c>
      <c r="N682" t="s">
        <v>30</v>
      </c>
      <c r="O682" t="s">
        <v>31</v>
      </c>
      <c r="P682" s="54">
        <v>0.0930358371289041</v>
      </c>
    </row>
    <row r="683" spans="1:16">
      <c r="A683" t="s">
        <v>1921</v>
      </c>
      <c r="B683" t="s">
        <v>1922</v>
      </c>
      <c r="C683" t="s">
        <v>1923</v>
      </c>
      <c r="D683" t="s">
        <v>53</v>
      </c>
      <c r="E683" t="s">
        <v>71</v>
      </c>
      <c r="F683" t="s">
        <v>406</v>
      </c>
      <c r="G683">
        <v>1</v>
      </c>
      <c r="H683">
        <v>6632.69</v>
      </c>
      <c r="I683">
        <v>0.05</v>
      </c>
      <c r="J683">
        <v>6301.06</v>
      </c>
      <c r="K683">
        <v>1241.41</v>
      </c>
      <c r="L683">
        <v>3.1</v>
      </c>
      <c r="M683" s="53">
        <v>45342</v>
      </c>
      <c r="N683" t="s">
        <v>22</v>
      </c>
      <c r="O683" t="s">
        <v>23</v>
      </c>
      <c r="P683" s="54">
        <v>0.197016057615703</v>
      </c>
    </row>
    <row r="684" spans="1:16">
      <c r="A684" t="s">
        <v>1924</v>
      </c>
      <c r="B684" t="s">
        <v>159</v>
      </c>
      <c r="C684" t="s">
        <v>1925</v>
      </c>
      <c r="D684" t="s">
        <v>19</v>
      </c>
      <c r="E684" t="s">
        <v>35</v>
      </c>
      <c r="F684" t="s">
        <v>121</v>
      </c>
      <c r="G684">
        <v>5</v>
      </c>
      <c r="H684">
        <v>1986.31</v>
      </c>
      <c r="I684">
        <v>0</v>
      </c>
      <c r="J684">
        <v>9931.55</v>
      </c>
      <c r="K684">
        <v>756.12</v>
      </c>
      <c r="L684">
        <v>2.7</v>
      </c>
      <c r="M684" s="53">
        <v>45435</v>
      </c>
      <c r="N684" t="s">
        <v>22</v>
      </c>
      <c r="O684" t="s">
        <v>44</v>
      </c>
      <c r="P684" s="54">
        <v>0.0761331312836365</v>
      </c>
    </row>
    <row r="685" spans="1:16">
      <c r="A685" t="s">
        <v>1926</v>
      </c>
      <c r="B685" t="s">
        <v>1927</v>
      </c>
      <c r="C685" t="s">
        <v>1928</v>
      </c>
      <c r="D685" t="s">
        <v>19</v>
      </c>
      <c r="E685" t="s">
        <v>129</v>
      </c>
      <c r="F685" t="s">
        <v>167</v>
      </c>
      <c r="G685">
        <v>4</v>
      </c>
      <c r="H685">
        <v>16902.8</v>
      </c>
      <c r="I685">
        <v>0.1</v>
      </c>
      <c r="J685">
        <v>60850.08</v>
      </c>
      <c r="K685">
        <v>11427.19</v>
      </c>
      <c r="L685">
        <v>4.7</v>
      </c>
      <c r="M685" s="53">
        <v>45561</v>
      </c>
      <c r="N685" t="s">
        <v>22</v>
      </c>
      <c r="O685" t="s">
        <v>57</v>
      </c>
      <c r="P685" s="54">
        <v>0.187792522211967</v>
      </c>
    </row>
    <row r="686" spans="1:16">
      <c r="A686" t="s">
        <v>1929</v>
      </c>
      <c r="B686" t="s">
        <v>1930</v>
      </c>
      <c r="C686" t="s">
        <v>1931</v>
      </c>
      <c r="D686" t="s">
        <v>40</v>
      </c>
      <c r="E686" t="s">
        <v>174</v>
      </c>
      <c r="F686" t="s">
        <v>202</v>
      </c>
      <c r="G686">
        <v>3</v>
      </c>
      <c r="H686">
        <v>8565.07</v>
      </c>
      <c r="I686">
        <v>0.1</v>
      </c>
      <c r="J686">
        <v>23125.69</v>
      </c>
      <c r="K686">
        <v>5552.89</v>
      </c>
      <c r="L686">
        <v>3.7</v>
      </c>
      <c r="M686" s="53">
        <v>44977</v>
      </c>
      <c r="N686" t="s">
        <v>22</v>
      </c>
      <c r="O686" t="s">
        <v>23</v>
      </c>
      <c r="P686" s="54">
        <v>0.240117808376745</v>
      </c>
    </row>
    <row r="687" spans="1:16">
      <c r="A687" t="s">
        <v>1932</v>
      </c>
      <c r="B687" t="s">
        <v>1657</v>
      </c>
      <c r="C687" t="s">
        <v>1933</v>
      </c>
      <c r="D687" t="s">
        <v>19</v>
      </c>
      <c r="E687" t="s">
        <v>129</v>
      </c>
      <c r="F687" t="s">
        <v>320</v>
      </c>
      <c r="G687">
        <v>1</v>
      </c>
      <c r="H687">
        <v>4685.78</v>
      </c>
      <c r="I687">
        <v>0.05</v>
      </c>
      <c r="J687">
        <v>4451.49</v>
      </c>
      <c r="K687">
        <v>564.34</v>
      </c>
      <c r="L687">
        <v>2.1</v>
      </c>
      <c r="M687" s="53">
        <v>44953</v>
      </c>
      <c r="N687" t="s">
        <v>22</v>
      </c>
      <c r="O687" t="s">
        <v>23</v>
      </c>
      <c r="P687" s="54">
        <v>0.126775529092506</v>
      </c>
    </row>
    <row r="688" spans="1:16">
      <c r="A688" t="s">
        <v>1934</v>
      </c>
      <c r="B688" t="s">
        <v>639</v>
      </c>
      <c r="C688" t="s">
        <v>1935</v>
      </c>
      <c r="D688" t="s">
        <v>27</v>
      </c>
      <c r="E688" t="s">
        <v>28</v>
      </c>
      <c r="F688" t="s">
        <v>192</v>
      </c>
      <c r="G688">
        <v>2</v>
      </c>
      <c r="H688">
        <v>15695.75</v>
      </c>
      <c r="I688">
        <v>0.15</v>
      </c>
      <c r="J688">
        <v>26682.77</v>
      </c>
      <c r="K688">
        <v>4492.18</v>
      </c>
      <c r="L688">
        <v>3.6</v>
      </c>
      <c r="M688" s="53">
        <v>45513</v>
      </c>
      <c r="N688" t="s">
        <v>22</v>
      </c>
      <c r="O688" t="s">
        <v>73</v>
      </c>
      <c r="P688" s="54">
        <v>0.168355084573303</v>
      </c>
    </row>
    <row r="689" spans="1:16">
      <c r="A689" t="s">
        <v>1936</v>
      </c>
      <c r="B689" t="s">
        <v>645</v>
      </c>
      <c r="C689" t="s">
        <v>1937</v>
      </c>
      <c r="D689" t="s">
        <v>40</v>
      </c>
      <c r="E689" t="s">
        <v>81</v>
      </c>
      <c r="F689" t="s">
        <v>263</v>
      </c>
      <c r="G689">
        <v>2</v>
      </c>
      <c r="H689">
        <v>17984.59</v>
      </c>
      <c r="I689">
        <v>0.2</v>
      </c>
      <c r="J689">
        <v>28775.34</v>
      </c>
      <c r="K689">
        <v>1867.29</v>
      </c>
      <c r="L689">
        <v>2.2</v>
      </c>
      <c r="M689" s="53">
        <v>45460</v>
      </c>
      <c r="N689" t="s">
        <v>22</v>
      </c>
      <c r="O689" t="s">
        <v>44</v>
      </c>
      <c r="P689" s="54">
        <v>0.0648920221272798</v>
      </c>
    </row>
    <row r="690" spans="1:16">
      <c r="A690" t="s">
        <v>1938</v>
      </c>
      <c r="B690" t="s">
        <v>1939</v>
      </c>
      <c r="C690" t="s">
        <v>1940</v>
      </c>
      <c r="D690" t="s">
        <v>27</v>
      </c>
      <c r="E690" t="s">
        <v>48</v>
      </c>
      <c r="F690" t="s">
        <v>583</v>
      </c>
      <c r="G690">
        <v>3</v>
      </c>
      <c r="H690">
        <v>19855.4</v>
      </c>
      <c r="I690">
        <v>0.15</v>
      </c>
      <c r="J690">
        <v>50631.27</v>
      </c>
      <c r="K690">
        <v>7586.16</v>
      </c>
      <c r="L690">
        <v>1.6</v>
      </c>
      <c r="M690" s="53">
        <v>44996</v>
      </c>
      <c r="N690" t="s">
        <v>56</v>
      </c>
      <c r="O690" t="s">
        <v>23</v>
      </c>
      <c r="P690" s="54">
        <v>0.149831517163208</v>
      </c>
    </row>
    <row r="691" spans="1:16">
      <c r="A691" t="s">
        <v>1941</v>
      </c>
      <c r="B691" t="s">
        <v>420</v>
      </c>
      <c r="C691" t="s">
        <v>1942</v>
      </c>
      <c r="D691" t="s">
        <v>19</v>
      </c>
      <c r="E691" t="s">
        <v>129</v>
      </c>
      <c r="F691" t="s">
        <v>302</v>
      </c>
      <c r="G691">
        <v>1</v>
      </c>
      <c r="H691">
        <v>15150.29</v>
      </c>
      <c r="I691">
        <v>0</v>
      </c>
      <c r="J691">
        <v>15150.29</v>
      </c>
      <c r="K691">
        <v>3013.99</v>
      </c>
      <c r="L691">
        <v>4.2</v>
      </c>
      <c r="M691" s="53">
        <v>45574</v>
      </c>
      <c r="N691" t="s">
        <v>22</v>
      </c>
      <c r="O691" t="s">
        <v>73</v>
      </c>
      <c r="P691" s="54">
        <v>0.198939426242006</v>
      </c>
    </row>
    <row r="692" spans="1:16">
      <c r="A692" t="s">
        <v>1943</v>
      </c>
      <c r="B692" t="s">
        <v>1944</v>
      </c>
      <c r="C692" t="s">
        <v>1945</v>
      </c>
      <c r="D692" t="s">
        <v>53</v>
      </c>
      <c r="E692" t="s">
        <v>95</v>
      </c>
      <c r="F692" t="s">
        <v>524</v>
      </c>
      <c r="G692">
        <v>4</v>
      </c>
      <c r="H692">
        <v>13126.7</v>
      </c>
      <c r="I692">
        <v>0.15</v>
      </c>
      <c r="J692">
        <v>44630.78</v>
      </c>
      <c r="K692">
        <v>4546.37</v>
      </c>
      <c r="L692">
        <v>4</v>
      </c>
      <c r="M692" s="53">
        <v>45311</v>
      </c>
      <c r="N692" t="s">
        <v>30</v>
      </c>
      <c r="O692" t="s">
        <v>23</v>
      </c>
      <c r="P692" s="54">
        <v>0.101866245671709</v>
      </c>
    </row>
    <row r="693" spans="1:16">
      <c r="A693" t="s">
        <v>1946</v>
      </c>
      <c r="B693" t="s">
        <v>369</v>
      </c>
      <c r="C693" t="s">
        <v>1947</v>
      </c>
      <c r="D693" t="s">
        <v>53</v>
      </c>
      <c r="E693" t="s">
        <v>100</v>
      </c>
      <c r="F693" t="s">
        <v>229</v>
      </c>
      <c r="G693">
        <v>5</v>
      </c>
      <c r="H693">
        <v>17779.95</v>
      </c>
      <c r="I693">
        <v>0</v>
      </c>
      <c r="J693">
        <v>88899.75</v>
      </c>
      <c r="K693">
        <v>21197.44</v>
      </c>
      <c r="L693">
        <v>2.3</v>
      </c>
      <c r="M693" s="53">
        <v>45455</v>
      </c>
      <c r="N693" t="s">
        <v>22</v>
      </c>
      <c r="O693" t="s">
        <v>31</v>
      </c>
      <c r="P693" s="54">
        <v>0.238442065360139</v>
      </c>
    </row>
    <row r="694" spans="1:16">
      <c r="A694" t="s">
        <v>1948</v>
      </c>
      <c r="B694" t="s">
        <v>1090</v>
      </c>
      <c r="C694" t="s">
        <v>1949</v>
      </c>
      <c r="D694" t="s">
        <v>53</v>
      </c>
      <c r="E694" t="s">
        <v>71</v>
      </c>
      <c r="F694" t="s">
        <v>225</v>
      </c>
      <c r="G694">
        <v>3</v>
      </c>
      <c r="H694">
        <v>8369.79</v>
      </c>
      <c r="I694">
        <v>0.1</v>
      </c>
      <c r="J694">
        <v>22598.43</v>
      </c>
      <c r="K694">
        <v>2253.06</v>
      </c>
      <c r="L694">
        <v>2</v>
      </c>
      <c r="M694" s="53">
        <v>45422</v>
      </c>
      <c r="N694" t="s">
        <v>56</v>
      </c>
      <c r="O694" t="s">
        <v>23</v>
      </c>
      <c r="P694" s="54">
        <v>0.0996998464052591</v>
      </c>
    </row>
    <row r="695" spans="1:16">
      <c r="A695" t="s">
        <v>1950</v>
      </c>
      <c r="B695" t="s">
        <v>411</v>
      </c>
      <c r="C695" t="s">
        <v>1746</v>
      </c>
      <c r="D695" t="s">
        <v>53</v>
      </c>
      <c r="E695" t="s">
        <v>100</v>
      </c>
      <c r="F695" t="s">
        <v>229</v>
      </c>
      <c r="G695">
        <v>1</v>
      </c>
      <c r="H695">
        <v>1231.1</v>
      </c>
      <c r="I695">
        <v>0.1</v>
      </c>
      <c r="J695">
        <v>1107.99</v>
      </c>
      <c r="K695">
        <v>79.32</v>
      </c>
      <c r="L695">
        <v>4.8</v>
      </c>
      <c r="M695" s="53">
        <v>45395</v>
      </c>
      <c r="N695" t="s">
        <v>30</v>
      </c>
      <c r="O695" t="s">
        <v>44</v>
      </c>
      <c r="P695" s="54">
        <v>0.0715890937643841</v>
      </c>
    </row>
    <row r="696" spans="1:16">
      <c r="A696" t="s">
        <v>1951</v>
      </c>
      <c r="B696" t="s">
        <v>89</v>
      </c>
      <c r="C696" t="s">
        <v>1952</v>
      </c>
      <c r="D696" t="s">
        <v>40</v>
      </c>
      <c r="E696" t="s">
        <v>81</v>
      </c>
      <c r="F696" t="s">
        <v>358</v>
      </c>
      <c r="G696">
        <v>3</v>
      </c>
      <c r="H696">
        <v>16538.81</v>
      </c>
      <c r="I696">
        <v>0.2</v>
      </c>
      <c r="J696">
        <v>39693.14</v>
      </c>
      <c r="K696">
        <v>6629.13</v>
      </c>
      <c r="L696">
        <v>4.9</v>
      </c>
      <c r="M696" s="53">
        <v>45013</v>
      </c>
      <c r="N696" t="s">
        <v>43</v>
      </c>
      <c r="O696" t="s">
        <v>57</v>
      </c>
      <c r="P696" s="54">
        <v>0.167009463096142</v>
      </c>
    </row>
    <row r="697" spans="1:16">
      <c r="A697" t="s">
        <v>1953</v>
      </c>
      <c r="B697" t="s">
        <v>516</v>
      </c>
      <c r="C697" t="s">
        <v>1954</v>
      </c>
      <c r="D697" t="s">
        <v>40</v>
      </c>
      <c r="E697" t="s">
        <v>81</v>
      </c>
      <c r="F697" t="s">
        <v>82</v>
      </c>
      <c r="G697">
        <v>5</v>
      </c>
      <c r="H697">
        <v>8556</v>
      </c>
      <c r="I697">
        <v>0</v>
      </c>
      <c r="J697">
        <v>42780</v>
      </c>
      <c r="K697">
        <v>5344.85</v>
      </c>
      <c r="L697">
        <v>3.4</v>
      </c>
      <c r="M697" s="53">
        <v>45432</v>
      </c>
      <c r="N697" t="s">
        <v>56</v>
      </c>
      <c r="O697" t="s">
        <v>31</v>
      </c>
      <c r="P697" s="54">
        <v>0.124938055165965</v>
      </c>
    </row>
    <row r="698" spans="1:16">
      <c r="A698" t="s">
        <v>1955</v>
      </c>
      <c r="B698" t="s">
        <v>1914</v>
      </c>
      <c r="C698" t="s">
        <v>1956</v>
      </c>
      <c r="D698" t="s">
        <v>19</v>
      </c>
      <c r="E698" t="s">
        <v>129</v>
      </c>
      <c r="F698" t="s">
        <v>320</v>
      </c>
      <c r="G698">
        <v>1</v>
      </c>
      <c r="H698">
        <v>13321.95</v>
      </c>
      <c r="I698">
        <v>0.2</v>
      </c>
      <c r="J698">
        <v>10657.56</v>
      </c>
      <c r="K698">
        <v>1003.92</v>
      </c>
      <c r="L698">
        <v>4.7</v>
      </c>
      <c r="M698" s="53">
        <v>45455</v>
      </c>
      <c r="N698" t="s">
        <v>56</v>
      </c>
      <c r="O698" t="s">
        <v>73</v>
      </c>
      <c r="P698" s="54">
        <v>0.0941979214754597</v>
      </c>
    </row>
    <row r="699" spans="1:16">
      <c r="A699" t="s">
        <v>1957</v>
      </c>
      <c r="B699" t="s">
        <v>1927</v>
      </c>
      <c r="C699" t="s">
        <v>1958</v>
      </c>
      <c r="D699" t="s">
        <v>19</v>
      </c>
      <c r="E699" t="s">
        <v>35</v>
      </c>
      <c r="F699" t="s">
        <v>36</v>
      </c>
      <c r="G699">
        <v>2</v>
      </c>
      <c r="H699">
        <v>3946.2</v>
      </c>
      <c r="I699">
        <v>0.15</v>
      </c>
      <c r="J699">
        <v>6708.54</v>
      </c>
      <c r="K699">
        <v>1501.01</v>
      </c>
      <c r="L699">
        <v>3.5</v>
      </c>
      <c r="M699" s="53">
        <v>45252</v>
      </c>
      <c r="N699" t="s">
        <v>43</v>
      </c>
      <c r="O699" t="s">
        <v>73</v>
      </c>
      <c r="P699" s="54">
        <v>0.223746150429154</v>
      </c>
    </row>
    <row r="700" spans="1:16">
      <c r="A700" t="s">
        <v>1959</v>
      </c>
      <c r="B700" t="s">
        <v>1185</v>
      </c>
      <c r="C700" t="s">
        <v>1960</v>
      </c>
      <c r="D700" t="s">
        <v>19</v>
      </c>
      <c r="E700" t="s">
        <v>86</v>
      </c>
      <c r="F700" t="s">
        <v>182</v>
      </c>
      <c r="G700">
        <v>5</v>
      </c>
      <c r="H700">
        <v>8460.31</v>
      </c>
      <c r="I700">
        <v>0.1</v>
      </c>
      <c r="J700">
        <v>38071.39</v>
      </c>
      <c r="K700">
        <v>2183.73</v>
      </c>
      <c r="L700">
        <v>2.8</v>
      </c>
      <c r="M700" s="53">
        <v>45290</v>
      </c>
      <c r="N700" t="s">
        <v>43</v>
      </c>
      <c r="O700" t="s">
        <v>31</v>
      </c>
      <c r="P700" s="54">
        <v>0.057358819838204</v>
      </c>
    </row>
    <row r="701" spans="1:16">
      <c r="A701" t="s">
        <v>1961</v>
      </c>
      <c r="B701" t="s">
        <v>1962</v>
      </c>
      <c r="C701" t="s">
        <v>1963</v>
      </c>
      <c r="D701" t="s">
        <v>53</v>
      </c>
      <c r="E701" t="s">
        <v>95</v>
      </c>
      <c r="F701" t="s">
        <v>524</v>
      </c>
      <c r="G701">
        <v>2</v>
      </c>
      <c r="H701">
        <v>8182.54</v>
      </c>
      <c r="I701">
        <v>0.1</v>
      </c>
      <c r="J701">
        <v>14728.57</v>
      </c>
      <c r="K701">
        <v>1215.25</v>
      </c>
      <c r="L701">
        <v>3.4</v>
      </c>
      <c r="M701" s="53">
        <v>45551</v>
      </c>
      <c r="N701" t="s">
        <v>30</v>
      </c>
      <c r="O701" t="s">
        <v>44</v>
      </c>
      <c r="P701" s="54">
        <v>0.0825097073239289</v>
      </c>
    </row>
    <row r="702" spans="1:16">
      <c r="A702" t="s">
        <v>1964</v>
      </c>
      <c r="B702" t="s">
        <v>522</v>
      </c>
      <c r="C702" t="s">
        <v>1383</v>
      </c>
      <c r="D702" t="s">
        <v>53</v>
      </c>
      <c r="E702" t="s">
        <v>54</v>
      </c>
      <c r="F702" t="s">
        <v>109</v>
      </c>
      <c r="G702">
        <v>2</v>
      </c>
      <c r="H702">
        <v>910.83</v>
      </c>
      <c r="I702">
        <v>0.1</v>
      </c>
      <c r="J702">
        <v>1639.49</v>
      </c>
      <c r="K702">
        <v>289.98</v>
      </c>
      <c r="L702">
        <v>3.2</v>
      </c>
      <c r="M702" s="53">
        <v>45184</v>
      </c>
      <c r="N702" t="s">
        <v>56</v>
      </c>
      <c r="O702" t="s">
        <v>23</v>
      </c>
      <c r="P702" s="54">
        <v>0.176872076072437</v>
      </c>
    </row>
    <row r="703" spans="1:16">
      <c r="A703" t="s">
        <v>1965</v>
      </c>
      <c r="B703" t="s">
        <v>1657</v>
      </c>
      <c r="C703" t="s">
        <v>1966</v>
      </c>
      <c r="D703" t="s">
        <v>27</v>
      </c>
      <c r="E703" t="s">
        <v>233</v>
      </c>
      <c r="F703" t="s">
        <v>362</v>
      </c>
      <c r="G703">
        <v>1</v>
      </c>
      <c r="H703">
        <v>2562.87</v>
      </c>
      <c r="I703">
        <v>0.1</v>
      </c>
      <c r="J703">
        <v>2306.58</v>
      </c>
      <c r="K703">
        <v>157.13</v>
      </c>
      <c r="L703">
        <v>3.4</v>
      </c>
      <c r="M703" s="53">
        <v>45605</v>
      </c>
      <c r="N703" t="s">
        <v>30</v>
      </c>
      <c r="O703" t="s">
        <v>31</v>
      </c>
      <c r="P703" s="54">
        <v>0.0681225017124921</v>
      </c>
    </row>
    <row r="704" spans="1:16">
      <c r="A704" t="s">
        <v>1967</v>
      </c>
      <c r="B704" t="s">
        <v>148</v>
      </c>
      <c r="C704" t="s">
        <v>1968</v>
      </c>
      <c r="D704" t="s">
        <v>40</v>
      </c>
      <c r="E704" t="s">
        <v>174</v>
      </c>
      <c r="F704" t="s">
        <v>175</v>
      </c>
      <c r="G704">
        <v>1</v>
      </c>
      <c r="H704">
        <v>15911.09</v>
      </c>
      <c r="I704">
        <v>0</v>
      </c>
      <c r="J704">
        <v>15911.09</v>
      </c>
      <c r="K704">
        <v>3338.54</v>
      </c>
      <c r="L704">
        <v>1.7</v>
      </c>
      <c r="M704" s="53">
        <v>45107</v>
      </c>
      <c r="N704" t="s">
        <v>30</v>
      </c>
      <c r="O704" t="s">
        <v>31</v>
      </c>
      <c r="P704" s="54">
        <v>0.209824719739503</v>
      </c>
    </row>
    <row r="705" spans="1:16">
      <c r="A705" t="s">
        <v>1969</v>
      </c>
      <c r="B705" t="s">
        <v>1970</v>
      </c>
      <c r="C705" t="s">
        <v>1971</v>
      </c>
      <c r="D705" t="s">
        <v>53</v>
      </c>
      <c r="E705" t="s">
        <v>95</v>
      </c>
      <c r="F705" t="s">
        <v>306</v>
      </c>
      <c r="G705">
        <v>4</v>
      </c>
      <c r="H705">
        <v>10993.97</v>
      </c>
      <c r="I705">
        <v>0</v>
      </c>
      <c r="J705">
        <v>43975.88</v>
      </c>
      <c r="K705">
        <v>6806.63</v>
      </c>
      <c r="L705">
        <v>2.5</v>
      </c>
      <c r="M705" s="53">
        <v>45499</v>
      </c>
      <c r="N705" t="s">
        <v>43</v>
      </c>
      <c r="O705" t="s">
        <v>23</v>
      </c>
      <c r="P705" s="54">
        <v>0.154780984485131</v>
      </c>
    </row>
    <row r="706" spans="1:16">
      <c r="A706" t="s">
        <v>1972</v>
      </c>
      <c r="B706" t="s">
        <v>1973</v>
      </c>
      <c r="C706" t="s">
        <v>1974</v>
      </c>
      <c r="D706" t="s">
        <v>53</v>
      </c>
      <c r="E706" t="s">
        <v>71</v>
      </c>
      <c r="F706" t="s">
        <v>150</v>
      </c>
      <c r="G706">
        <v>5</v>
      </c>
      <c r="H706">
        <v>3457.95</v>
      </c>
      <c r="I706">
        <v>0.2</v>
      </c>
      <c r="J706">
        <v>13831.8</v>
      </c>
      <c r="K706">
        <v>2252.42</v>
      </c>
      <c r="L706">
        <v>2.9</v>
      </c>
      <c r="M706" s="53">
        <v>45542</v>
      </c>
      <c r="N706" t="s">
        <v>56</v>
      </c>
      <c r="O706" t="s">
        <v>57</v>
      </c>
      <c r="P706" s="54">
        <v>0.162843592301797</v>
      </c>
    </row>
    <row r="707" spans="1:16">
      <c r="A707" t="s">
        <v>1975</v>
      </c>
      <c r="B707" t="s">
        <v>1667</v>
      </c>
      <c r="C707" t="s">
        <v>1976</v>
      </c>
      <c r="D707" t="s">
        <v>53</v>
      </c>
      <c r="E707" t="s">
        <v>54</v>
      </c>
      <c r="F707" t="s">
        <v>55</v>
      </c>
      <c r="G707">
        <v>3</v>
      </c>
      <c r="H707">
        <v>3834.44</v>
      </c>
      <c r="I707">
        <v>0</v>
      </c>
      <c r="J707">
        <v>11503.32</v>
      </c>
      <c r="K707">
        <v>2435.58</v>
      </c>
      <c r="L707">
        <v>2</v>
      </c>
      <c r="M707" s="53">
        <v>44989</v>
      </c>
      <c r="N707" t="s">
        <v>30</v>
      </c>
      <c r="O707" t="s">
        <v>44</v>
      </c>
      <c r="P707" s="54">
        <v>0.211728440137282</v>
      </c>
    </row>
    <row r="708" spans="1:16">
      <c r="A708" t="s">
        <v>1977</v>
      </c>
      <c r="B708" t="s">
        <v>522</v>
      </c>
      <c r="C708" t="s">
        <v>1978</v>
      </c>
      <c r="D708" t="s">
        <v>27</v>
      </c>
      <c r="E708" t="s">
        <v>28</v>
      </c>
      <c r="F708" t="s">
        <v>225</v>
      </c>
      <c r="G708">
        <v>2</v>
      </c>
      <c r="H708">
        <v>19506.25</v>
      </c>
      <c r="I708">
        <v>0.15</v>
      </c>
      <c r="J708">
        <v>33160.62</v>
      </c>
      <c r="K708">
        <v>2745.21</v>
      </c>
      <c r="L708">
        <v>4</v>
      </c>
      <c r="M708" s="53">
        <v>45348</v>
      </c>
      <c r="N708" t="s">
        <v>30</v>
      </c>
      <c r="O708" t="s">
        <v>23</v>
      </c>
      <c r="P708" s="54">
        <v>0.0827852434604661</v>
      </c>
    </row>
    <row r="709" spans="1:16">
      <c r="A709" t="s">
        <v>1979</v>
      </c>
      <c r="B709" t="s">
        <v>1152</v>
      </c>
      <c r="C709" t="s">
        <v>1437</v>
      </c>
      <c r="D709" t="s">
        <v>40</v>
      </c>
      <c r="E709" t="s">
        <v>41</v>
      </c>
      <c r="F709" t="s">
        <v>91</v>
      </c>
      <c r="G709">
        <v>5</v>
      </c>
      <c r="H709">
        <v>18429.05</v>
      </c>
      <c r="I709">
        <v>0.05</v>
      </c>
      <c r="J709">
        <v>87537.99</v>
      </c>
      <c r="K709">
        <v>7269.37</v>
      </c>
      <c r="L709">
        <v>3.2</v>
      </c>
      <c r="M709" s="53">
        <v>45346</v>
      </c>
      <c r="N709" t="s">
        <v>56</v>
      </c>
      <c r="O709" t="s">
        <v>44</v>
      </c>
      <c r="P709" s="54">
        <v>0.0830424596223879</v>
      </c>
    </row>
    <row r="710" spans="1:16">
      <c r="A710" t="s">
        <v>1980</v>
      </c>
      <c r="B710" t="s">
        <v>1981</v>
      </c>
      <c r="C710" t="s">
        <v>1982</v>
      </c>
      <c r="D710" t="s">
        <v>53</v>
      </c>
      <c r="E710" t="s">
        <v>54</v>
      </c>
      <c r="F710" t="s">
        <v>109</v>
      </c>
      <c r="G710">
        <v>2</v>
      </c>
      <c r="H710">
        <v>13220.74</v>
      </c>
      <c r="I710">
        <v>0.1</v>
      </c>
      <c r="J710">
        <v>23797.33</v>
      </c>
      <c r="K710">
        <v>1895.96</v>
      </c>
      <c r="L710">
        <v>2.6</v>
      </c>
      <c r="M710" s="53">
        <v>45107</v>
      </c>
      <c r="N710" t="s">
        <v>30</v>
      </c>
      <c r="O710" t="s">
        <v>44</v>
      </c>
      <c r="P710" s="54">
        <v>0.0796711227688148</v>
      </c>
    </row>
    <row r="711" spans="1:16">
      <c r="A711" t="s">
        <v>1983</v>
      </c>
      <c r="B711" t="s">
        <v>815</v>
      </c>
      <c r="C711" t="s">
        <v>1711</v>
      </c>
      <c r="D711" t="s">
        <v>40</v>
      </c>
      <c r="E711" t="s">
        <v>262</v>
      </c>
      <c r="F711" t="s">
        <v>263</v>
      </c>
      <c r="G711">
        <v>5</v>
      </c>
      <c r="H711">
        <v>2270.32</v>
      </c>
      <c r="I711">
        <v>0.2</v>
      </c>
      <c r="J711">
        <v>9081.28</v>
      </c>
      <c r="K711">
        <v>1875.75</v>
      </c>
      <c r="L711">
        <v>3.7</v>
      </c>
      <c r="M711" s="53">
        <v>45026</v>
      </c>
      <c r="N711" t="s">
        <v>22</v>
      </c>
      <c r="O711" t="s">
        <v>23</v>
      </c>
      <c r="P711" s="54">
        <v>0.206551279114838</v>
      </c>
    </row>
    <row r="712" spans="1:16">
      <c r="A712" t="s">
        <v>1984</v>
      </c>
      <c r="B712" t="s">
        <v>804</v>
      </c>
      <c r="C712" t="s">
        <v>1985</v>
      </c>
      <c r="D712" t="s">
        <v>40</v>
      </c>
      <c r="E712" t="s">
        <v>262</v>
      </c>
      <c r="F712" t="s">
        <v>263</v>
      </c>
      <c r="G712">
        <v>5</v>
      </c>
      <c r="H712">
        <v>5744.74</v>
      </c>
      <c r="I712">
        <v>0.1</v>
      </c>
      <c r="J712">
        <v>25851.33</v>
      </c>
      <c r="K712">
        <v>1576.5</v>
      </c>
      <c r="L712">
        <v>4.7</v>
      </c>
      <c r="M712" s="53">
        <v>45171</v>
      </c>
      <c r="N712" t="s">
        <v>56</v>
      </c>
      <c r="O712" t="s">
        <v>23</v>
      </c>
      <c r="P712" s="54">
        <v>0.0609833227149241</v>
      </c>
    </row>
    <row r="713" spans="1:16">
      <c r="A713" t="s">
        <v>1986</v>
      </c>
      <c r="B713" t="s">
        <v>894</v>
      </c>
      <c r="C713" t="s">
        <v>1987</v>
      </c>
      <c r="D713" t="s">
        <v>53</v>
      </c>
      <c r="E713" t="s">
        <v>100</v>
      </c>
      <c r="F713" t="s">
        <v>101</v>
      </c>
      <c r="G713">
        <v>4</v>
      </c>
      <c r="H713">
        <v>5654.88</v>
      </c>
      <c r="I713">
        <v>0.1</v>
      </c>
      <c r="J713">
        <v>20357.57</v>
      </c>
      <c r="K713">
        <v>2950.2</v>
      </c>
      <c r="L713">
        <v>3.2</v>
      </c>
      <c r="M713" s="53">
        <v>45105</v>
      </c>
      <c r="N713" t="s">
        <v>22</v>
      </c>
      <c r="O713" t="s">
        <v>57</v>
      </c>
      <c r="P713" s="54">
        <v>0.144919064505243</v>
      </c>
    </row>
    <row r="714" spans="1:16">
      <c r="A714" t="s">
        <v>1988</v>
      </c>
      <c r="B714" t="s">
        <v>420</v>
      </c>
      <c r="C714" t="s">
        <v>1989</v>
      </c>
      <c r="D714" t="s">
        <v>27</v>
      </c>
      <c r="E714" t="s">
        <v>28</v>
      </c>
      <c r="F714" t="s">
        <v>192</v>
      </c>
      <c r="G714">
        <v>4</v>
      </c>
      <c r="H714">
        <v>19365.9</v>
      </c>
      <c r="I714">
        <v>0.15</v>
      </c>
      <c r="J714">
        <v>65844.06</v>
      </c>
      <c r="K714">
        <v>14070.57</v>
      </c>
      <c r="L714">
        <v>4.5</v>
      </c>
      <c r="M714" s="53">
        <v>45509</v>
      </c>
      <c r="N714" t="s">
        <v>43</v>
      </c>
      <c r="O714" t="s">
        <v>73</v>
      </c>
      <c r="P714" s="54">
        <v>0.213695358396794</v>
      </c>
    </row>
    <row r="715" spans="1:16">
      <c r="A715" t="s">
        <v>1990</v>
      </c>
      <c r="B715" t="s">
        <v>1124</v>
      </c>
      <c r="C715" t="s">
        <v>792</v>
      </c>
      <c r="D715" t="s">
        <v>53</v>
      </c>
      <c r="E715" t="s">
        <v>95</v>
      </c>
      <c r="F715" t="s">
        <v>524</v>
      </c>
      <c r="G715">
        <v>4</v>
      </c>
      <c r="H715">
        <v>562.64</v>
      </c>
      <c r="I715">
        <v>0.2</v>
      </c>
      <c r="J715">
        <v>1800.45</v>
      </c>
      <c r="K715">
        <v>240.91</v>
      </c>
      <c r="L715">
        <v>2.7</v>
      </c>
      <c r="M715" s="53">
        <v>45400</v>
      </c>
      <c r="N715" t="s">
        <v>30</v>
      </c>
      <c r="O715" t="s">
        <v>31</v>
      </c>
      <c r="P715" s="54">
        <v>0.133805437529506</v>
      </c>
    </row>
    <row r="716" spans="1:16">
      <c r="A716" t="s">
        <v>1991</v>
      </c>
      <c r="B716" t="s">
        <v>1992</v>
      </c>
      <c r="C716" t="s">
        <v>1993</v>
      </c>
      <c r="D716" t="s">
        <v>40</v>
      </c>
      <c r="E716" t="s">
        <v>81</v>
      </c>
      <c r="F716" t="s">
        <v>82</v>
      </c>
      <c r="G716">
        <v>3</v>
      </c>
      <c r="H716">
        <v>14977.96</v>
      </c>
      <c r="I716">
        <v>0.05</v>
      </c>
      <c r="J716">
        <v>42687.19</v>
      </c>
      <c r="K716">
        <v>3168.19</v>
      </c>
      <c r="L716">
        <v>3.6</v>
      </c>
      <c r="M716" s="53">
        <v>45513</v>
      </c>
      <c r="N716" t="s">
        <v>43</v>
      </c>
      <c r="O716" t="s">
        <v>23</v>
      </c>
      <c r="P716" s="54">
        <v>0.0742187527452615</v>
      </c>
    </row>
    <row r="717" spans="1:16">
      <c r="A717" t="s">
        <v>1994</v>
      </c>
      <c r="B717" t="s">
        <v>667</v>
      </c>
      <c r="C717" t="s">
        <v>1995</v>
      </c>
      <c r="D717" t="s">
        <v>27</v>
      </c>
      <c r="E717" t="s">
        <v>117</v>
      </c>
      <c r="F717" t="s">
        <v>225</v>
      </c>
      <c r="G717">
        <v>2</v>
      </c>
      <c r="H717">
        <v>18380.98</v>
      </c>
      <c r="I717">
        <v>0.1</v>
      </c>
      <c r="J717">
        <v>33085.76</v>
      </c>
      <c r="K717">
        <v>2239.86</v>
      </c>
      <c r="L717">
        <v>3.6</v>
      </c>
      <c r="M717" s="53">
        <v>45188</v>
      </c>
      <c r="N717" t="s">
        <v>30</v>
      </c>
      <c r="O717" t="s">
        <v>73</v>
      </c>
      <c r="P717" s="54">
        <v>0.0676986111245442</v>
      </c>
    </row>
    <row r="718" spans="1:16">
      <c r="A718" t="s">
        <v>1996</v>
      </c>
      <c r="B718" t="s">
        <v>366</v>
      </c>
      <c r="C718" t="s">
        <v>1997</v>
      </c>
      <c r="D718" t="s">
        <v>53</v>
      </c>
      <c r="E718" t="s">
        <v>100</v>
      </c>
      <c r="F718" t="s">
        <v>267</v>
      </c>
      <c r="G718">
        <v>5</v>
      </c>
      <c r="H718">
        <v>9474.89</v>
      </c>
      <c r="I718">
        <v>0.1</v>
      </c>
      <c r="J718">
        <v>42637</v>
      </c>
      <c r="K718">
        <v>2757.58</v>
      </c>
      <c r="L718">
        <v>1.1</v>
      </c>
      <c r="M718" s="53">
        <v>45538</v>
      </c>
      <c r="N718" t="s">
        <v>43</v>
      </c>
      <c r="O718" t="s">
        <v>57</v>
      </c>
      <c r="P718" s="54">
        <v>0.0646757511081924</v>
      </c>
    </row>
    <row r="719" spans="1:16">
      <c r="A719" t="s">
        <v>1998</v>
      </c>
      <c r="B719" t="s">
        <v>1999</v>
      </c>
      <c r="C719" t="s">
        <v>2000</v>
      </c>
      <c r="D719" t="s">
        <v>27</v>
      </c>
      <c r="E719" t="s">
        <v>48</v>
      </c>
      <c r="F719" t="s">
        <v>49</v>
      </c>
      <c r="G719">
        <v>4</v>
      </c>
      <c r="H719">
        <v>146.67</v>
      </c>
      <c r="I719">
        <v>0</v>
      </c>
      <c r="J719">
        <v>586.68</v>
      </c>
      <c r="K719">
        <v>115.69</v>
      </c>
      <c r="L719">
        <v>2.3</v>
      </c>
      <c r="M719" s="53">
        <v>45031</v>
      </c>
      <c r="N719" t="s">
        <v>43</v>
      </c>
      <c r="O719" t="s">
        <v>31</v>
      </c>
      <c r="P719" s="54">
        <v>0.197194381945865</v>
      </c>
    </row>
    <row r="720" spans="1:16">
      <c r="A720" t="s">
        <v>2001</v>
      </c>
      <c r="B720" t="s">
        <v>2002</v>
      </c>
      <c r="C720" t="s">
        <v>2003</v>
      </c>
      <c r="D720" t="s">
        <v>40</v>
      </c>
      <c r="E720" t="s">
        <v>81</v>
      </c>
      <c r="F720" t="s">
        <v>241</v>
      </c>
      <c r="G720">
        <v>3</v>
      </c>
      <c r="H720">
        <v>15242.01</v>
      </c>
      <c r="I720">
        <v>0.1</v>
      </c>
      <c r="J720">
        <v>41153.43</v>
      </c>
      <c r="K720">
        <v>2658.84</v>
      </c>
      <c r="L720">
        <v>3.5</v>
      </c>
      <c r="M720" s="53">
        <v>45571</v>
      </c>
      <c r="N720" t="s">
        <v>30</v>
      </c>
      <c r="O720" t="s">
        <v>44</v>
      </c>
      <c r="P720" s="54">
        <v>0.0646079804283628</v>
      </c>
    </row>
    <row r="721" spans="1:16">
      <c r="A721" t="s">
        <v>2004</v>
      </c>
      <c r="B721" t="s">
        <v>2005</v>
      </c>
      <c r="C721" t="s">
        <v>2006</v>
      </c>
      <c r="D721" t="s">
        <v>27</v>
      </c>
      <c r="E721" t="s">
        <v>117</v>
      </c>
      <c r="F721" t="s">
        <v>505</v>
      </c>
      <c r="G721">
        <v>5</v>
      </c>
      <c r="H721">
        <v>5330.76</v>
      </c>
      <c r="I721">
        <v>0.05</v>
      </c>
      <c r="J721">
        <v>25321.11</v>
      </c>
      <c r="K721">
        <v>3325.16</v>
      </c>
      <c r="L721">
        <v>4.6</v>
      </c>
      <c r="M721" s="53">
        <v>44934</v>
      </c>
      <c r="N721" t="s">
        <v>22</v>
      </c>
      <c r="O721" t="s">
        <v>73</v>
      </c>
      <c r="P721" s="54">
        <v>0.131319677533884</v>
      </c>
    </row>
    <row r="722" spans="1:16">
      <c r="A722" t="s">
        <v>2007</v>
      </c>
      <c r="B722" t="s">
        <v>1930</v>
      </c>
      <c r="C722" t="s">
        <v>2008</v>
      </c>
      <c r="D722" t="s">
        <v>19</v>
      </c>
      <c r="E722" t="s">
        <v>86</v>
      </c>
      <c r="F722" t="s">
        <v>320</v>
      </c>
      <c r="G722">
        <v>4</v>
      </c>
      <c r="H722">
        <v>2614.98</v>
      </c>
      <c r="I722">
        <v>0.15</v>
      </c>
      <c r="J722">
        <v>8890.93</v>
      </c>
      <c r="K722">
        <v>1431.76</v>
      </c>
      <c r="L722">
        <v>1.1</v>
      </c>
      <c r="M722" s="53">
        <v>45548</v>
      </c>
      <c r="N722" t="s">
        <v>30</v>
      </c>
      <c r="O722" t="s">
        <v>57</v>
      </c>
      <c r="P722" s="54">
        <v>0.161036022103424</v>
      </c>
    </row>
    <row r="723" spans="1:16">
      <c r="A723" t="s">
        <v>2009</v>
      </c>
      <c r="B723" t="s">
        <v>251</v>
      </c>
      <c r="C723" t="s">
        <v>2010</v>
      </c>
      <c r="D723" t="s">
        <v>40</v>
      </c>
      <c r="E723" t="s">
        <v>81</v>
      </c>
      <c r="F723" t="s">
        <v>358</v>
      </c>
      <c r="G723">
        <v>4</v>
      </c>
      <c r="H723">
        <v>12189.96</v>
      </c>
      <c r="I723">
        <v>0.2</v>
      </c>
      <c r="J723">
        <v>39007.87</v>
      </c>
      <c r="K723">
        <v>5938.67</v>
      </c>
      <c r="L723">
        <v>4.1</v>
      </c>
      <c r="M723" s="53">
        <v>44992</v>
      </c>
      <c r="N723" t="s">
        <v>43</v>
      </c>
      <c r="O723" t="s">
        <v>31</v>
      </c>
      <c r="P723" s="54">
        <v>0.152242867913577</v>
      </c>
    </row>
    <row r="724" spans="1:16">
      <c r="A724" t="s">
        <v>2011</v>
      </c>
      <c r="B724" t="s">
        <v>1341</v>
      </c>
      <c r="C724" t="s">
        <v>2012</v>
      </c>
      <c r="D724" t="s">
        <v>19</v>
      </c>
      <c r="E724" t="s">
        <v>86</v>
      </c>
      <c r="F724" t="s">
        <v>320</v>
      </c>
      <c r="G724">
        <v>5</v>
      </c>
      <c r="H724">
        <v>9041.2</v>
      </c>
      <c r="I724">
        <v>0</v>
      </c>
      <c r="J724">
        <v>45206</v>
      </c>
      <c r="K724">
        <v>8933.03</v>
      </c>
      <c r="L724">
        <v>2.8</v>
      </c>
      <c r="M724" s="53">
        <v>44962</v>
      </c>
      <c r="N724" t="s">
        <v>56</v>
      </c>
      <c r="O724" t="s">
        <v>73</v>
      </c>
      <c r="P724" s="54">
        <v>0.197607176038579</v>
      </c>
    </row>
    <row r="725" spans="1:16">
      <c r="A725" t="s">
        <v>2013</v>
      </c>
      <c r="B725" t="s">
        <v>273</v>
      </c>
      <c r="C725" t="s">
        <v>2014</v>
      </c>
      <c r="D725" t="s">
        <v>53</v>
      </c>
      <c r="E725" t="s">
        <v>100</v>
      </c>
      <c r="F725" t="s">
        <v>101</v>
      </c>
      <c r="G725">
        <v>5</v>
      </c>
      <c r="H725">
        <v>14443</v>
      </c>
      <c r="I725">
        <v>0.2</v>
      </c>
      <c r="J725">
        <v>57772</v>
      </c>
      <c r="K725">
        <v>4975.92</v>
      </c>
      <c r="L725">
        <v>3</v>
      </c>
      <c r="M725" s="53">
        <v>45136</v>
      </c>
      <c r="N725" t="s">
        <v>43</v>
      </c>
      <c r="O725" t="s">
        <v>23</v>
      </c>
      <c r="P725" s="54">
        <v>0.0861303053382261</v>
      </c>
    </row>
    <row r="726" spans="1:16">
      <c r="A726" t="s">
        <v>2015</v>
      </c>
      <c r="B726" t="s">
        <v>1939</v>
      </c>
      <c r="C726" t="s">
        <v>784</v>
      </c>
      <c r="D726" t="s">
        <v>53</v>
      </c>
      <c r="E726" t="s">
        <v>95</v>
      </c>
      <c r="F726" t="s">
        <v>524</v>
      </c>
      <c r="G726">
        <v>4</v>
      </c>
      <c r="H726">
        <v>3391.96</v>
      </c>
      <c r="I726">
        <v>0.2</v>
      </c>
      <c r="J726">
        <v>10854.27</v>
      </c>
      <c r="K726">
        <v>2672.64</v>
      </c>
      <c r="L726">
        <v>3.4</v>
      </c>
      <c r="M726" s="53">
        <v>45244</v>
      </c>
      <c r="N726" t="s">
        <v>43</v>
      </c>
      <c r="O726" t="s">
        <v>73</v>
      </c>
      <c r="P726" s="54">
        <v>0.246229364112004</v>
      </c>
    </row>
    <row r="727" spans="1:16">
      <c r="A727" t="s">
        <v>2016</v>
      </c>
      <c r="B727" t="s">
        <v>1303</v>
      </c>
      <c r="C727" t="s">
        <v>2017</v>
      </c>
      <c r="D727" t="s">
        <v>27</v>
      </c>
      <c r="E727" t="s">
        <v>48</v>
      </c>
      <c r="F727" t="s">
        <v>64</v>
      </c>
      <c r="G727">
        <v>4</v>
      </c>
      <c r="H727">
        <v>3544.06</v>
      </c>
      <c r="I727">
        <v>0.05</v>
      </c>
      <c r="J727">
        <v>13467.43</v>
      </c>
      <c r="K727">
        <v>1699.71</v>
      </c>
      <c r="L727">
        <v>3.3</v>
      </c>
      <c r="M727" s="53">
        <v>44985</v>
      </c>
      <c r="N727" t="s">
        <v>56</v>
      </c>
      <c r="O727" t="s">
        <v>57</v>
      </c>
      <c r="P727" s="54">
        <v>0.126208935186595</v>
      </c>
    </row>
    <row r="728" spans="1:16">
      <c r="A728" t="s">
        <v>2018</v>
      </c>
      <c r="B728" t="s">
        <v>2019</v>
      </c>
      <c r="C728" t="s">
        <v>2020</v>
      </c>
      <c r="D728" t="s">
        <v>19</v>
      </c>
      <c r="E728" t="s">
        <v>86</v>
      </c>
      <c r="F728" t="s">
        <v>182</v>
      </c>
      <c r="G728">
        <v>1</v>
      </c>
      <c r="H728">
        <v>7755.35</v>
      </c>
      <c r="I728">
        <v>0.2</v>
      </c>
      <c r="J728">
        <v>6204.28</v>
      </c>
      <c r="K728">
        <v>708.26</v>
      </c>
      <c r="L728">
        <v>3.6</v>
      </c>
      <c r="M728" s="53">
        <v>45596</v>
      </c>
      <c r="N728" t="s">
        <v>56</v>
      </c>
      <c r="O728" t="s">
        <v>31</v>
      </c>
      <c r="P728" s="54">
        <v>0.114156678937766</v>
      </c>
    </row>
    <row r="729" spans="1:16">
      <c r="A729" t="s">
        <v>2021</v>
      </c>
      <c r="B729" t="s">
        <v>1344</v>
      </c>
      <c r="C729" t="s">
        <v>2022</v>
      </c>
      <c r="D729" t="s">
        <v>53</v>
      </c>
      <c r="E729" t="s">
        <v>54</v>
      </c>
      <c r="F729" t="s">
        <v>258</v>
      </c>
      <c r="G729">
        <v>1</v>
      </c>
      <c r="H729">
        <v>14806.85</v>
      </c>
      <c r="I729">
        <v>0.1</v>
      </c>
      <c r="J729">
        <v>13326.17</v>
      </c>
      <c r="K729">
        <v>1588.82</v>
      </c>
      <c r="L729">
        <v>3.6</v>
      </c>
      <c r="M729" s="53">
        <v>45563</v>
      </c>
      <c r="N729" t="s">
        <v>22</v>
      </c>
      <c r="O729" t="s">
        <v>73</v>
      </c>
      <c r="P729" s="54">
        <v>0.119225553928848</v>
      </c>
    </row>
    <row r="730" spans="1:16">
      <c r="A730" t="s">
        <v>2023</v>
      </c>
      <c r="B730" t="s">
        <v>1164</v>
      </c>
      <c r="C730" t="s">
        <v>2024</v>
      </c>
      <c r="D730" t="s">
        <v>53</v>
      </c>
      <c r="E730" t="s">
        <v>100</v>
      </c>
      <c r="F730" t="s">
        <v>271</v>
      </c>
      <c r="G730">
        <v>5</v>
      </c>
      <c r="H730">
        <v>838.36</v>
      </c>
      <c r="I730">
        <v>0.2</v>
      </c>
      <c r="J730">
        <v>3353.44</v>
      </c>
      <c r="K730">
        <v>519.45</v>
      </c>
      <c r="L730">
        <v>4.2</v>
      </c>
      <c r="M730" s="53">
        <v>45230</v>
      </c>
      <c r="N730" t="s">
        <v>56</v>
      </c>
      <c r="O730" t="s">
        <v>31</v>
      </c>
      <c r="P730" s="54">
        <v>0.15490063934348</v>
      </c>
    </row>
    <row r="731" spans="1:16">
      <c r="A731" t="s">
        <v>2025</v>
      </c>
      <c r="B731" t="s">
        <v>639</v>
      </c>
      <c r="C731" t="s">
        <v>2026</v>
      </c>
      <c r="D731" t="s">
        <v>40</v>
      </c>
      <c r="E731" t="s">
        <v>41</v>
      </c>
      <c r="F731" t="s">
        <v>125</v>
      </c>
      <c r="G731">
        <v>1</v>
      </c>
      <c r="H731">
        <v>18903.44</v>
      </c>
      <c r="I731">
        <v>0</v>
      </c>
      <c r="J731">
        <v>18903.44</v>
      </c>
      <c r="K731">
        <v>1321.17</v>
      </c>
      <c r="L731">
        <v>2.8</v>
      </c>
      <c r="M731" s="53">
        <v>45172</v>
      </c>
      <c r="N731" t="s">
        <v>30</v>
      </c>
      <c r="O731" t="s">
        <v>31</v>
      </c>
      <c r="P731" s="54">
        <v>0.0698904538010013</v>
      </c>
    </row>
    <row r="732" spans="1:16">
      <c r="A732" t="s">
        <v>2027</v>
      </c>
      <c r="B732" t="s">
        <v>2028</v>
      </c>
      <c r="C732" t="s">
        <v>1229</v>
      </c>
      <c r="D732" t="s">
        <v>19</v>
      </c>
      <c r="E732" t="s">
        <v>20</v>
      </c>
      <c r="F732" t="s">
        <v>121</v>
      </c>
      <c r="G732">
        <v>2</v>
      </c>
      <c r="H732">
        <v>2633.01</v>
      </c>
      <c r="I732">
        <v>0.2</v>
      </c>
      <c r="J732">
        <v>4212.82</v>
      </c>
      <c r="K732">
        <v>764.76</v>
      </c>
      <c r="L732">
        <v>4.9</v>
      </c>
      <c r="M732" s="53">
        <v>45625</v>
      </c>
      <c r="N732" t="s">
        <v>56</v>
      </c>
      <c r="O732" t="s">
        <v>44</v>
      </c>
      <c r="P732" s="54">
        <v>0.181531610655096</v>
      </c>
    </row>
    <row r="733" spans="1:16">
      <c r="A733" t="s">
        <v>2029</v>
      </c>
      <c r="B733" t="s">
        <v>2030</v>
      </c>
      <c r="C733" t="s">
        <v>2031</v>
      </c>
      <c r="D733" t="s">
        <v>27</v>
      </c>
      <c r="E733" t="s">
        <v>28</v>
      </c>
      <c r="F733" t="s">
        <v>29</v>
      </c>
      <c r="G733">
        <v>5</v>
      </c>
      <c r="H733">
        <v>12079.89</v>
      </c>
      <c r="I733">
        <v>0</v>
      </c>
      <c r="J733">
        <v>60399.45</v>
      </c>
      <c r="K733">
        <v>13477.79</v>
      </c>
      <c r="L733">
        <v>4.1</v>
      </c>
      <c r="M733" s="53">
        <v>45055</v>
      </c>
      <c r="N733" t="s">
        <v>22</v>
      </c>
      <c r="O733" t="s">
        <v>23</v>
      </c>
      <c r="P733" s="54">
        <v>0.223144250485725</v>
      </c>
    </row>
    <row r="734" spans="1:16">
      <c r="A734" t="s">
        <v>2032</v>
      </c>
      <c r="B734" t="s">
        <v>1670</v>
      </c>
      <c r="C734" t="s">
        <v>2033</v>
      </c>
      <c r="D734" t="s">
        <v>53</v>
      </c>
      <c r="E734" t="s">
        <v>54</v>
      </c>
      <c r="F734" t="s">
        <v>258</v>
      </c>
      <c r="G734">
        <v>3</v>
      </c>
      <c r="H734">
        <v>8215.72</v>
      </c>
      <c r="I734">
        <v>0.05</v>
      </c>
      <c r="J734">
        <v>23414.8</v>
      </c>
      <c r="K734">
        <v>1217.09</v>
      </c>
      <c r="L734">
        <v>2.5</v>
      </c>
      <c r="M734" s="53">
        <v>44972</v>
      </c>
      <c r="N734" t="s">
        <v>30</v>
      </c>
      <c r="O734" t="s">
        <v>23</v>
      </c>
      <c r="P734" s="54">
        <v>0.0519795172284196</v>
      </c>
    </row>
    <row r="735" spans="1:16">
      <c r="A735" t="s">
        <v>2034</v>
      </c>
      <c r="B735" t="s">
        <v>2035</v>
      </c>
      <c r="C735" t="s">
        <v>2036</v>
      </c>
      <c r="D735" t="s">
        <v>40</v>
      </c>
      <c r="E735" t="s">
        <v>81</v>
      </c>
      <c r="F735" t="s">
        <v>358</v>
      </c>
      <c r="G735">
        <v>5</v>
      </c>
      <c r="H735">
        <v>1456.49</v>
      </c>
      <c r="I735">
        <v>0.15</v>
      </c>
      <c r="J735">
        <v>6190.08</v>
      </c>
      <c r="K735">
        <v>610.66</v>
      </c>
      <c r="L735">
        <v>3.8</v>
      </c>
      <c r="M735" s="53">
        <v>45317</v>
      </c>
      <c r="N735" t="s">
        <v>43</v>
      </c>
      <c r="O735" t="s">
        <v>57</v>
      </c>
      <c r="P735" s="54">
        <v>0.0986513906120761</v>
      </c>
    </row>
    <row r="736" spans="1:16">
      <c r="A736" t="s">
        <v>2037</v>
      </c>
      <c r="B736" t="s">
        <v>1569</v>
      </c>
      <c r="C736" t="s">
        <v>2038</v>
      </c>
      <c r="D736" t="s">
        <v>40</v>
      </c>
      <c r="E736" t="s">
        <v>174</v>
      </c>
      <c r="F736" t="s">
        <v>313</v>
      </c>
      <c r="G736">
        <v>2</v>
      </c>
      <c r="H736">
        <v>396.96</v>
      </c>
      <c r="I736">
        <v>0.15</v>
      </c>
      <c r="J736">
        <v>674.83</v>
      </c>
      <c r="K736">
        <v>144.15</v>
      </c>
      <c r="L736">
        <v>4.4</v>
      </c>
      <c r="M736" s="53">
        <v>45344</v>
      </c>
      <c r="N736" t="s">
        <v>30</v>
      </c>
      <c r="O736" t="s">
        <v>73</v>
      </c>
      <c r="P736" s="54">
        <v>0.213609353466799</v>
      </c>
    </row>
    <row r="737" spans="1:16">
      <c r="A737" t="s">
        <v>2039</v>
      </c>
      <c r="B737" t="s">
        <v>2040</v>
      </c>
      <c r="C737" t="s">
        <v>2041</v>
      </c>
      <c r="D737" t="s">
        <v>40</v>
      </c>
      <c r="E737" t="s">
        <v>41</v>
      </c>
      <c r="F737" t="s">
        <v>154</v>
      </c>
      <c r="G737">
        <v>2</v>
      </c>
      <c r="H737">
        <v>5535.35</v>
      </c>
      <c r="I737">
        <v>0.15</v>
      </c>
      <c r="J737">
        <v>9410.1</v>
      </c>
      <c r="K737">
        <v>1491.92</v>
      </c>
      <c r="L737">
        <v>1.5</v>
      </c>
      <c r="M737" s="53">
        <v>45256</v>
      </c>
      <c r="N737" t="s">
        <v>56</v>
      </c>
      <c r="O737" t="s">
        <v>23</v>
      </c>
      <c r="P737" s="54">
        <v>0.158544542565966</v>
      </c>
    </row>
    <row r="738" spans="1:16">
      <c r="A738" t="s">
        <v>2042</v>
      </c>
      <c r="B738" t="s">
        <v>2043</v>
      </c>
      <c r="C738" t="s">
        <v>2044</v>
      </c>
      <c r="D738" t="s">
        <v>40</v>
      </c>
      <c r="E738" t="s">
        <v>262</v>
      </c>
      <c r="F738" t="s">
        <v>385</v>
      </c>
      <c r="G738">
        <v>4</v>
      </c>
      <c r="H738">
        <v>1526.48</v>
      </c>
      <c r="I738">
        <v>0.1</v>
      </c>
      <c r="J738">
        <v>5495.33</v>
      </c>
      <c r="K738">
        <v>336.92</v>
      </c>
      <c r="L738">
        <v>4.7</v>
      </c>
      <c r="M738" s="53">
        <v>45398</v>
      </c>
      <c r="N738" t="s">
        <v>30</v>
      </c>
      <c r="O738" t="s">
        <v>23</v>
      </c>
      <c r="P738" s="54">
        <v>0.0613102397854178</v>
      </c>
    </row>
    <row r="739" spans="1:16">
      <c r="A739" t="s">
        <v>2045</v>
      </c>
      <c r="B739" t="s">
        <v>2046</v>
      </c>
      <c r="C739" t="s">
        <v>2047</v>
      </c>
      <c r="D739" t="s">
        <v>40</v>
      </c>
      <c r="E739" t="s">
        <v>81</v>
      </c>
      <c r="F739" t="s">
        <v>241</v>
      </c>
      <c r="G739">
        <v>3</v>
      </c>
      <c r="H739">
        <v>13094.19</v>
      </c>
      <c r="I739">
        <v>0.05</v>
      </c>
      <c r="J739">
        <v>37318.44</v>
      </c>
      <c r="K739">
        <v>6056.88</v>
      </c>
      <c r="L739">
        <v>4.5</v>
      </c>
      <c r="M739" s="53">
        <v>45091</v>
      </c>
      <c r="N739" t="s">
        <v>22</v>
      </c>
      <c r="O739" t="s">
        <v>23</v>
      </c>
      <c r="P739" s="54">
        <v>0.162302604288925</v>
      </c>
    </row>
    <row r="740" spans="1:16">
      <c r="A740" t="s">
        <v>2048</v>
      </c>
      <c r="B740" t="s">
        <v>984</v>
      </c>
      <c r="C740" t="s">
        <v>2049</v>
      </c>
      <c r="D740" t="s">
        <v>27</v>
      </c>
      <c r="E740" t="s">
        <v>28</v>
      </c>
      <c r="F740" t="s">
        <v>105</v>
      </c>
      <c r="G740">
        <v>4</v>
      </c>
      <c r="H740">
        <v>9390.35</v>
      </c>
      <c r="I740">
        <v>0.1</v>
      </c>
      <c r="J740">
        <v>33805.26</v>
      </c>
      <c r="K740">
        <v>2524.1</v>
      </c>
      <c r="L740">
        <v>2.8</v>
      </c>
      <c r="M740" s="53">
        <v>44990</v>
      </c>
      <c r="N740" t="s">
        <v>56</v>
      </c>
      <c r="O740" t="s">
        <v>73</v>
      </c>
      <c r="P740" s="54">
        <v>0.0746658951890919</v>
      </c>
    </row>
    <row r="741" spans="1:16">
      <c r="A741" t="s">
        <v>2050</v>
      </c>
      <c r="B741" t="s">
        <v>2051</v>
      </c>
      <c r="C741" t="s">
        <v>2052</v>
      </c>
      <c r="D741" t="s">
        <v>19</v>
      </c>
      <c r="E741" t="s">
        <v>35</v>
      </c>
      <c r="F741" t="s">
        <v>245</v>
      </c>
      <c r="G741">
        <v>5</v>
      </c>
      <c r="H741">
        <v>9120.72</v>
      </c>
      <c r="I741">
        <v>0.2</v>
      </c>
      <c r="J741">
        <v>36482.88</v>
      </c>
      <c r="K741">
        <v>4412.79</v>
      </c>
      <c r="L741">
        <v>2.1</v>
      </c>
      <c r="M741" s="53">
        <v>45283</v>
      </c>
      <c r="N741" t="s">
        <v>43</v>
      </c>
      <c r="O741" t="s">
        <v>57</v>
      </c>
      <c r="P741" s="54">
        <v>0.120955089071915</v>
      </c>
    </row>
    <row r="742" spans="1:16">
      <c r="A742" t="s">
        <v>2053</v>
      </c>
      <c r="B742" t="s">
        <v>2054</v>
      </c>
      <c r="C742" t="s">
        <v>2055</v>
      </c>
      <c r="D742" t="s">
        <v>19</v>
      </c>
      <c r="E742" t="s">
        <v>86</v>
      </c>
      <c r="F742" t="s">
        <v>182</v>
      </c>
      <c r="G742">
        <v>5</v>
      </c>
      <c r="H742">
        <v>11219.33</v>
      </c>
      <c r="I742">
        <v>0.1</v>
      </c>
      <c r="J742">
        <v>50486.99</v>
      </c>
      <c r="K742">
        <v>8718.88</v>
      </c>
      <c r="L742">
        <v>3.3</v>
      </c>
      <c r="M742" s="53">
        <v>45217</v>
      </c>
      <c r="N742" t="s">
        <v>56</v>
      </c>
      <c r="O742" t="s">
        <v>73</v>
      </c>
      <c r="P742" s="54">
        <v>0.172695579593872</v>
      </c>
    </row>
    <row r="743" spans="1:16">
      <c r="A743" t="s">
        <v>2056</v>
      </c>
      <c r="B743" t="s">
        <v>794</v>
      </c>
      <c r="C743" t="s">
        <v>2057</v>
      </c>
      <c r="D743" t="s">
        <v>27</v>
      </c>
      <c r="E743" t="s">
        <v>233</v>
      </c>
      <c r="F743" t="s">
        <v>665</v>
      </c>
      <c r="G743">
        <v>2</v>
      </c>
      <c r="H743">
        <v>2910.54</v>
      </c>
      <c r="I743">
        <v>0.1</v>
      </c>
      <c r="J743">
        <v>5238.97</v>
      </c>
      <c r="K743">
        <v>1229.1</v>
      </c>
      <c r="L743">
        <v>2.1</v>
      </c>
      <c r="M743" s="53">
        <v>45629</v>
      </c>
      <c r="N743" t="s">
        <v>22</v>
      </c>
      <c r="O743" t="s">
        <v>44</v>
      </c>
      <c r="P743" s="54">
        <v>0.234607184236596</v>
      </c>
    </row>
    <row r="744" spans="1:16">
      <c r="A744" t="s">
        <v>2058</v>
      </c>
      <c r="B744" t="s">
        <v>2059</v>
      </c>
      <c r="C744" t="s">
        <v>2060</v>
      </c>
      <c r="D744" t="s">
        <v>19</v>
      </c>
      <c r="E744" t="s">
        <v>35</v>
      </c>
      <c r="F744" t="s">
        <v>36</v>
      </c>
      <c r="G744">
        <v>1</v>
      </c>
      <c r="H744">
        <v>13621.09</v>
      </c>
      <c r="I744">
        <v>0.2</v>
      </c>
      <c r="J744">
        <v>10896.87</v>
      </c>
      <c r="K744">
        <v>2584.91</v>
      </c>
      <c r="L744">
        <v>2.8</v>
      </c>
      <c r="M744" s="53">
        <v>45385</v>
      </c>
      <c r="N744" t="s">
        <v>56</v>
      </c>
      <c r="O744" t="s">
        <v>57</v>
      </c>
      <c r="P744" s="54">
        <v>0.237215824360573</v>
      </c>
    </row>
    <row r="745" spans="1:16">
      <c r="A745" t="s">
        <v>2061</v>
      </c>
      <c r="B745" t="s">
        <v>1205</v>
      </c>
      <c r="C745" t="s">
        <v>2062</v>
      </c>
      <c r="D745" t="s">
        <v>53</v>
      </c>
      <c r="E745" t="s">
        <v>54</v>
      </c>
      <c r="F745" t="s">
        <v>109</v>
      </c>
      <c r="G745">
        <v>4</v>
      </c>
      <c r="H745">
        <v>15092.25</v>
      </c>
      <c r="I745">
        <v>0.05</v>
      </c>
      <c r="J745">
        <v>57350.55</v>
      </c>
      <c r="K745">
        <v>4976.36</v>
      </c>
      <c r="L745">
        <v>2.6</v>
      </c>
      <c r="M745" s="53">
        <v>45223</v>
      </c>
      <c r="N745" t="s">
        <v>22</v>
      </c>
      <c r="O745" t="s">
        <v>57</v>
      </c>
      <c r="P745" s="54">
        <v>0.0867709202440081</v>
      </c>
    </row>
    <row r="746" spans="1:16">
      <c r="A746" t="s">
        <v>2063</v>
      </c>
      <c r="B746" t="s">
        <v>1191</v>
      </c>
      <c r="C746" t="s">
        <v>2064</v>
      </c>
      <c r="D746" t="s">
        <v>27</v>
      </c>
      <c r="E746" t="s">
        <v>28</v>
      </c>
      <c r="F746" t="s">
        <v>105</v>
      </c>
      <c r="G746">
        <v>2</v>
      </c>
      <c r="H746">
        <v>19426.62</v>
      </c>
      <c r="I746">
        <v>0.1</v>
      </c>
      <c r="J746">
        <v>34967.92</v>
      </c>
      <c r="K746">
        <v>2190.44</v>
      </c>
      <c r="L746">
        <v>1.8</v>
      </c>
      <c r="M746" s="53">
        <v>45587</v>
      </c>
      <c r="N746" t="s">
        <v>56</v>
      </c>
      <c r="O746" t="s">
        <v>31</v>
      </c>
      <c r="P746" s="54">
        <v>0.0626414153315382</v>
      </c>
    </row>
    <row r="747" spans="1:16">
      <c r="A747" t="s">
        <v>2065</v>
      </c>
      <c r="B747" t="s">
        <v>2066</v>
      </c>
      <c r="C747" t="s">
        <v>2067</v>
      </c>
      <c r="D747" t="s">
        <v>27</v>
      </c>
      <c r="E747" t="s">
        <v>117</v>
      </c>
      <c r="F747" t="s">
        <v>192</v>
      </c>
      <c r="G747">
        <v>4</v>
      </c>
      <c r="H747">
        <v>10743.93</v>
      </c>
      <c r="I747">
        <v>0.15</v>
      </c>
      <c r="J747">
        <v>36529.36</v>
      </c>
      <c r="K747">
        <v>3879.35</v>
      </c>
      <c r="L747">
        <v>1.8</v>
      </c>
      <c r="M747" s="53">
        <v>45027</v>
      </c>
      <c r="N747" t="s">
        <v>43</v>
      </c>
      <c r="O747" t="s">
        <v>57</v>
      </c>
      <c r="P747" s="54">
        <v>0.106198137607667</v>
      </c>
    </row>
    <row r="748" spans="1:16">
      <c r="A748" t="s">
        <v>2068</v>
      </c>
      <c r="B748" t="s">
        <v>2069</v>
      </c>
      <c r="C748" t="s">
        <v>2070</v>
      </c>
      <c r="D748" t="s">
        <v>27</v>
      </c>
      <c r="E748" t="s">
        <v>233</v>
      </c>
      <c r="F748" t="s">
        <v>665</v>
      </c>
      <c r="G748">
        <v>4</v>
      </c>
      <c r="H748">
        <v>8225.7</v>
      </c>
      <c r="I748">
        <v>0.05</v>
      </c>
      <c r="J748">
        <v>31257.66</v>
      </c>
      <c r="K748">
        <v>3036.58</v>
      </c>
      <c r="L748">
        <v>4.4</v>
      </c>
      <c r="M748" s="53">
        <v>45085</v>
      </c>
      <c r="N748" t="s">
        <v>30</v>
      </c>
      <c r="O748" t="s">
        <v>57</v>
      </c>
      <c r="P748" s="54">
        <v>0.0971467473892799</v>
      </c>
    </row>
    <row r="749" spans="1:16">
      <c r="A749" t="s">
        <v>2071</v>
      </c>
      <c r="B749" t="s">
        <v>381</v>
      </c>
      <c r="C749" t="s">
        <v>2072</v>
      </c>
      <c r="D749" t="s">
        <v>40</v>
      </c>
      <c r="E749" t="s">
        <v>174</v>
      </c>
      <c r="F749" t="s">
        <v>313</v>
      </c>
      <c r="G749">
        <v>4</v>
      </c>
      <c r="H749">
        <v>11912.91</v>
      </c>
      <c r="I749">
        <v>0.1</v>
      </c>
      <c r="J749">
        <v>42886.48</v>
      </c>
      <c r="K749">
        <v>2439.16</v>
      </c>
      <c r="L749">
        <v>1.2</v>
      </c>
      <c r="M749" s="53">
        <v>45575</v>
      </c>
      <c r="N749" t="s">
        <v>22</v>
      </c>
      <c r="O749" t="s">
        <v>57</v>
      </c>
      <c r="P749" s="54">
        <v>0.056874800636471</v>
      </c>
    </row>
    <row r="750" spans="1:16">
      <c r="A750" t="s">
        <v>2073</v>
      </c>
      <c r="B750" t="s">
        <v>2074</v>
      </c>
      <c r="C750" t="s">
        <v>2075</v>
      </c>
      <c r="D750" t="s">
        <v>40</v>
      </c>
      <c r="E750" t="s">
        <v>81</v>
      </c>
      <c r="F750" t="s">
        <v>82</v>
      </c>
      <c r="G750">
        <v>5</v>
      </c>
      <c r="H750">
        <v>16918.95</v>
      </c>
      <c r="I750">
        <v>0</v>
      </c>
      <c r="J750">
        <v>84594.75</v>
      </c>
      <c r="K750">
        <v>19879.07</v>
      </c>
      <c r="L750">
        <v>3.4</v>
      </c>
      <c r="M750" s="53">
        <v>45524</v>
      </c>
      <c r="N750" t="s">
        <v>30</v>
      </c>
      <c r="O750" t="s">
        <v>57</v>
      </c>
      <c r="P750" s="54">
        <v>0.23499176958381</v>
      </c>
    </row>
    <row r="751" spans="1:16">
      <c r="A751" t="s">
        <v>2076</v>
      </c>
      <c r="B751" t="s">
        <v>2077</v>
      </c>
      <c r="C751" t="s">
        <v>2078</v>
      </c>
      <c r="D751" t="s">
        <v>19</v>
      </c>
      <c r="E751" t="s">
        <v>35</v>
      </c>
      <c r="F751" t="s">
        <v>121</v>
      </c>
      <c r="G751">
        <v>5</v>
      </c>
      <c r="H751">
        <v>12274.43</v>
      </c>
      <c r="I751">
        <v>0</v>
      </c>
      <c r="J751">
        <v>61372.15</v>
      </c>
      <c r="K751">
        <v>12880.07</v>
      </c>
      <c r="L751">
        <v>3</v>
      </c>
      <c r="M751" s="53">
        <v>45444</v>
      </c>
      <c r="N751" t="s">
        <v>43</v>
      </c>
      <c r="O751" t="s">
        <v>57</v>
      </c>
      <c r="P751" s="54">
        <v>0.209868319750897</v>
      </c>
    </row>
    <row r="752" spans="1:16">
      <c r="A752" t="s">
        <v>2079</v>
      </c>
      <c r="B752" t="s">
        <v>869</v>
      </c>
      <c r="C752" t="s">
        <v>2080</v>
      </c>
      <c r="D752" t="s">
        <v>19</v>
      </c>
      <c r="E752" t="s">
        <v>129</v>
      </c>
      <c r="F752" t="s">
        <v>320</v>
      </c>
      <c r="G752">
        <v>3</v>
      </c>
      <c r="H752">
        <v>12835.66</v>
      </c>
      <c r="I752">
        <v>0</v>
      </c>
      <c r="J752">
        <v>38506.98</v>
      </c>
      <c r="K752">
        <v>9604.75</v>
      </c>
      <c r="L752">
        <v>4.6</v>
      </c>
      <c r="M752" s="53">
        <v>45467</v>
      </c>
      <c r="N752" t="s">
        <v>56</v>
      </c>
      <c r="O752" t="s">
        <v>31</v>
      </c>
      <c r="P752" s="54">
        <v>0.249428804855639</v>
      </c>
    </row>
    <row r="753" spans="1:16">
      <c r="A753" t="s">
        <v>2081</v>
      </c>
      <c r="B753" t="s">
        <v>596</v>
      </c>
      <c r="C753" t="s">
        <v>2082</v>
      </c>
      <c r="D753" t="s">
        <v>27</v>
      </c>
      <c r="E753" t="s">
        <v>233</v>
      </c>
      <c r="F753" t="s">
        <v>606</v>
      </c>
      <c r="G753">
        <v>4</v>
      </c>
      <c r="H753">
        <v>9548.75</v>
      </c>
      <c r="I753">
        <v>0.15</v>
      </c>
      <c r="J753">
        <v>32465.75</v>
      </c>
      <c r="K753">
        <v>7429.53</v>
      </c>
      <c r="L753">
        <v>2.4</v>
      </c>
      <c r="M753" s="53">
        <v>45497</v>
      </c>
      <c r="N753" t="s">
        <v>30</v>
      </c>
      <c r="O753" t="s">
        <v>57</v>
      </c>
      <c r="P753" s="54">
        <v>0.2288420874306</v>
      </c>
    </row>
    <row r="754" spans="1:16">
      <c r="A754" t="s">
        <v>2083</v>
      </c>
      <c r="B754" t="s">
        <v>2084</v>
      </c>
      <c r="C754" t="s">
        <v>2085</v>
      </c>
      <c r="D754" t="s">
        <v>40</v>
      </c>
      <c r="E754" t="s">
        <v>81</v>
      </c>
      <c r="F754" t="s">
        <v>358</v>
      </c>
      <c r="G754">
        <v>4</v>
      </c>
      <c r="H754">
        <v>1765.69</v>
      </c>
      <c r="I754">
        <v>0</v>
      </c>
      <c r="J754">
        <v>7062.76</v>
      </c>
      <c r="K754">
        <v>363.33</v>
      </c>
      <c r="L754">
        <v>1.6</v>
      </c>
      <c r="M754" s="53">
        <v>45096</v>
      </c>
      <c r="N754" t="s">
        <v>30</v>
      </c>
      <c r="O754" t="s">
        <v>73</v>
      </c>
      <c r="P754" s="54">
        <v>0.0514430619191364</v>
      </c>
    </row>
    <row r="755" spans="1:16">
      <c r="A755" t="s">
        <v>2086</v>
      </c>
      <c r="B755" t="s">
        <v>93</v>
      </c>
      <c r="C755" t="s">
        <v>2087</v>
      </c>
      <c r="D755" t="s">
        <v>27</v>
      </c>
      <c r="E755" t="s">
        <v>48</v>
      </c>
      <c r="F755" t="s">
        <v>583</v>
      </c>
      <c r="G755">
        <v>2</v>
      </c>
      <c r="H755">
        <v>2227.82</v>
      </c>
      <c r="I755">
        <v>0</v>
      </c>
      <c r="J755">
        <v>4455.64</v>
      </c>
      <c r="K755">
        <v>984.9</v>
      </c>
      <c r="L755">
        <v>4.1</v>
      </c>
      <c r="M755" s="53">
        <v>45555</v>
      </c>
      <c r="N755" t="s">
        <v>56</v>
      </c>
      <c r="O755" t="s">
        <v>57</v>
      </c>
      <c r="P755" s="54">
        <v>0.221045685917175</v>
      </c>
    </row>
    <row r="756" spans="1:16">
      <c r="A756" t="s">
        <v>2088</v>
      </c>
      <c r="B756" t="s">
        <v>2089</v>
      </c>
      <c r="C756" t="s">
        <v>2090</v>
      </c>
      <c r="D756" t="s">
        <v>19</v>
      </c>
      <c r="E756" t="s">
        <v>86</v>
      </c>
      <c r="F756" t="s">
        <v>113</v>
      </c>
      <c r="G756">
        <v>1</v>
      </c>
      <c r="H756">
        <v>8902.24</v>
      </c>
      <c r="I756">
        <v>0.15</v>
      </c>
      <c r="J756">
        <v>7566.9</v>
      </c>
      <c r="K756">
        <v>1782.01</v>
      </c>
      <c r="L756">
        <v>1.6</v>
      </c>
      <c r="M756" s="53">
        <v>45235</v>
      </c>
      <c r="N756" t="s">
        <v>43</v>
      </c>
      <c r="O756" t="s">
        <v>73</v>
      </c>
      <c r="P756" s="54">
        <v>0.235500667380301</v>
      </c>
    </row>
    <row r="757" spans="1:16">
      <c r="A757" t="s">
        <v>2091</v>
      </c>
      <c r="B757" t="s">
        <v>2092</v>
      </c>
      <c r="C757" t="s">
        <v>2093</v>
      </c>
      <c r="D757" t="s">
        <v>19</v>
      </c>
      <c r="E757" t="s">
        <v>129</v>
      </c>
      <c r="F757" t="s">
        <v>130</v>
      </c>
      <c r="G757">
        <v>1</v>
      </c>
      <c r="H757">
        <v>17585.76</v>
      </c>
      <c r="I757">
        <v>0.1</v>
      </c>
      <c r="J757">
        <v>15827.18</v>
      </c>
      <c r="K757">
        <v>3075.82</v>
      </c>
      <c r="L757">
        <v>4.4</v>
      </c>
      <c r="M757" s="53">
        <v>45467</v>
      </c>
      <c r="N757" t="s">
        <v>43</v>
      </c>
      <c r="O757" t="s">
        <v>31</v>
      </c>
      <c r="P757" s="54">
        <v>0.194337841611709</v>
      </c>
    </row>
    <row r="758" spans="1:16">
      <c r="A758" t="s">
        <v>2094</v>
      </c>
      <c r="B758" t="s">
        <v>2095</v>
      </c>
      <c r="C758" t="s">
        <v>2096</v>
      </c>
      <c r="D758" t="s">
        <v>40</v>
      </c>
      <c r="E758" t="s">
        <v>81</v>
      </c>
      <c r="F758" t="s">
        <v>263</v>
      </c>
      <c r="G758">
        <v>1</v>
      </c>
      <c r="H758">
        <v>2680.56</v>
      </c>
      <c r="I758">
        <v>0.15</v>
      </c>
      <c r="J758">
        <v>2278.48</v>
      </c>
      <c r="K758">
        <v>288.14</v>
      </c>
      <c r="L758">
        <v>2.9</v>
      </c>
      <c r="M758" s="53">
        <v>44983</v>
      </c>
      <c r="N758" t="s">
        <v>43</v>
      </c>
      <c r="O758" t="s">
        <v>31</v>
      </c>
      <c r="P758" s="54">
        <v>0.126461500649556</v>
      </c>
    </row>
    <row r="759" spans="1:16">
      <c r="A759" t="s">
        <v>2097</v>
      </c>
      <c r="B759" t="s">
        <v>2098</v>
      </c>
      <c r="C759" t="s">
        <v>2099</v>
      </c>
      <c r="D759" t="s">
        <v>53</v>
      </c>
      <c r="E759" t="s">
        <v>71</v>
      </c>
      <c r="F759" t="s">
        <v>225</v>
      </c>
      <c r="G759">
        <v>2</v>
      </c>
      <c r="H759">
        <v>19230.15</v>
      </c>
      <c r="I759">
        <v>0.2</v>
      </c>
      <c r="J759">
        <v>30768.24</v>
      </c>
      <c r="K759">
        <v>6217.02</v>
      </c>
      <c r="L759">
        <v>1.3</v>
      </c>
      <c r="M759" s="53">
        <v>45012</v>
      </c>
      <c r="N759" t="s">
        <v>56</v>
      </c>
      <c r="O759" t="s">
        <v>57</v>
      </c>
      <c r="P759" s="54">
        <v>0.202059656320934</v>
      </c>
    </row>
    <row r="760" spans="1:16">
      <c r="A760" t="s">
        <v>2100</v>
      </c>
      <c r="B760" t="s">
        <v>2101</v>
      </c>
      <c r="C760" t="s">
        <v>2102</v>
      </c>
      <c r="D760" t="s">
        <v>19</v>
      </c>
      <c r="E760" t="s">
        <v>35</v>
      </c>
      <c r="F760" t="s">
        <v>36</v>
      </c>
      <c r="G760">
        <v>5</v>
      </c>
      <c r="H760">
        <v>9654.56</v>
      </c>
      <c r="I760">
        <v>0.2</v>
      </c>
      <c r="J760">
        <v>38618.24</v>
      </c>
      <c r="K760">
        <v>7954.2</v>
      </c>
      <c r="L760">
        <v>1.4</v>
      </c>
      <c r="M760" s="53">
        <v>45044</v>
      </c>
      <c r="N760" t="s">
        <v>43</v>
      </c>
      <c r="O760" t="s">
        <v>44</v>
      </c>
      <c r="P760" s="54">
        <v>0.20597002867039</v>
      </c>
    </row>
    <row r="761" spans="1:16">
      <c r="A761" t="s">
        <v>2103</v>
      </c>
      <c r="B761" t="s">
        <v>945</v>
      </c>
      <c r="C761" t="s">
        <v>2104</v>
      </c>
      <c r="D761" t="s">
        <v>19</v>
      </c>
      <c r="E761" t="s">
        <v>86</v>
      </c>
      <c r="F761" t="s">
        <v>182</v>
      </c>
      <c r="G761">
        <v>5</v>
      </c>
      <c r="H761">
        <v>11954.22</v>
      </c>
      <c r="I761">
        <v>0.05</v>
      </c>
      <c r="J761">
        <v>56782.54</v>
      </c>
      <c r="K761">
        <v>6022.39</v>
      </c>
      <c r="L761">
        <v>3.3</v>
      </c>
      <c r="M761" s="53">
        <v>45349</v>
      </c>
      <c r="N761" t="s">
        <v>56</v>
      </c>
      <c r="O761" t="s">
        <v>57</v>
      </c>
      <c r="P761" s="54">
        <v>0.106060595387244</v>
      </c>
    </row>
    <row r="762" spans="1:16">
      <c r="A762" t="s">
        <v>2105</v>
      </c>
      <c r="B762" t="s">
        <v>1335</v>
      </c>
      <c r="C762" t="s">
        <v>2106</v>
      </c>
      <c r="D762" t="s">
        <v>40</v>
      </c>
      <c r="E762" t="s">
        <v>81</v>
      </c>
      <c r="F762" t="s">
        <v>82</v>
      </c>
      <c r="G762">
        <v>2</v>
      </c>
      <c r="H762">
        <v>1113.71</v>
      </c>
      <c r="I762">
        <v>0.15</v>
      </c>
      <c r="J762">
        <v>1893.31</v>
      </c>
      <c r="K762">
        <v>379.36</v>
      </c>
      <c r="L762">
        <v>4.4</v>
      </c>
      <c r="M762" s="53">
        <v>45414</v>
      </c>
      <c r="N762" t="s">
        <v>30</v>
      </c>
      <c r="O762" t="s">
        <v>31</v>
      </c>
      <c r="P762" s="54">
        <v>0.200368666515256</v>
      </c>
    </row>
    <row r="763" spans="1:16">
      <c r="A763" t="s">
        <v>2107</v>
      </c>
      <c r="B763" t="s">
        <v>2108</v>
      </c>
      <c r="C763" t="s">
        <v>2109</v>
      </c>
      <c r="D763" t="s">
        <v>40</v>
      </c>
      <c r="E763" t="s">
        <v>262</v>
      </c>
      <c r="F763" t="s">
        <v>345</v>
      </c>
      <c r="G763">
        <v>1</v>
      </c>
      <c r="H763">
        <v>7911.93</v>
      </c>
      <c r="I763">
        <v>0.1</v>
      </c>
      <c r="J763">
        <v>7120.74</v>
      </c>
      <c r="K763">
        <v>819.25</v>
      </c>
      <c r="L763">
        <v>2.2</v>
      </c>
      <c r="M763" s="53">
        <v>45251</v>
      </c>
      <c r="N763" t="s">
        <v>56</v>
      </c>
      <c r="O763" t="s">
        <v>57</v>
      </c>
      <c r="P763" s="54">
        <v>0.115051244674009</v>
      </c>
    </row>
    <row r="764" spans="1:16">
      <c r="A764" t="s">
        <v>2110</v>
      </c>
      <c r="B764" t="s">
        <v>1625</v>
      </c>
      <c r="C764" t="s">
        <v>1785</v>
      </c>
      <c r="D764" t="s">
        <v>27</v>
      </c>
      <c r="E764" t="s">
        <v>117</v>
      </c>
      <c r="F764" t="s">
        <v>225</v>
      </c>
      <c r="G764">
        <v>5</v>
      </c>
      <c r="H764">
        <v>13160.18</v>
      </c>
      <c r="I764">
        <v>0</v>
      </c>
      <c r="J764">
        <v>65800.9</v>
      </c>
      <c r="K764">
        <v>13675.47</v>
      </c>
      <c r="L764">
        <v>3.9</v>
      </c>
      <c r="M764" s="53">
        <v>45190</v>
      </c>
      <c r="N764" t="s">
        <v>43</v>
      </c>
      <c r="O764" t="s">
        <v>31</v>
      </c>
      <c r="P764" s="54">
        <v>0.2078310479036</v>
      </c>
    </row>
    <row r="765" spans="1:16">
      <c r="A765" t="s">
        <v>2111</v>
      </c>
      <c r="B765" t="s">
        <v>2112</v>
      </c>
      <c r="C765" t="s">
        <v>2113</v>
      </c>
      <c r="D765" t="s">
        <v>27</v>
      </c>
      <c r="E765" t="s">
        <v>233</v>
      </c>
      <c r="F765" t="s">
        <v>606</v>
      </c>
      <c r="G765">
        <v>4</v>
      </c>
      <c r="H765">
        <v>4805.57</v>
      </c>
      <c r="I765">
        <v>0.05</v>
      </c>
      <c r="J765">
        <v>18261.17</v>
      </c>
      <c r="K765">
        <v>4029.29</v>
      </c>
      <c r="L765">
        <v>2.2</v>
      </c>
      <c r="M765" s="53">
        <v>45012</v>
      </c>
      <c r="N765" t="s">
        <v>30</v>
      </c>
      <c r="O765" t="s">
        <v>44</v>
      </c>
      <c r="P765" s="54">
        <v>0.220647965053718</v>
      </c>
    </row>
    <row r="766" spans="1:16">
      <c r="A766" t="s">
        <v>2114</v>
      </c>
      <c r="B766" t="s">
        <v>132</v>
      </c>
      <c r="C766" t="s">
        <v>2115</v>
      </c>
      <c r="D766" t="s">
        <v>27</v>
      </c>
      <c r="E766" t="s">
        <v>117</v>
      </c>
      <c r="F766" t="s">
        <v>225</v>
      </c>
      <c r="G766">
        <v>2</v>
      </c>
      <c r="H766">
        <v>5181.31</v>
      </c>
      <c r="I766">
        <v>0.2</v>
      </c>
      <c r="J766">
        <v>8290.1</v>
      </c>
      <c r="K766">
        <v>815.56</v>
      </c>
      <c r="L766">
        <v>1.1</v>
      </c>
      <c r="M766" s="53">
        <v>45405</v>
      </c>
      <c r="N766" t="s">
        <v>22</v>
      </c>
      <c r="O766" t="s">
        <v>57</v>
      </c>
      <c r="P766" s="54">
        <v>0.0983775829000856</v>
      </c>
    </row>
    <row r="767" spans="1:16">
      <c r="A767" t="s">
        <v>2116</v>
      </c>
      <c r="B767" t="s">
        <v>2117</v>
      </c>
      <c r="C767" t="s">
        <v>2118</v>
      </c>
      <c r="D767" t="s">
        <v>53</v>
      </c>
      <c r="E767" t="s">
        <v>100</v>
      </c>
      <c r="F767" t="s">
        <v>229</v>
      </c>
      <c r="G767">
        <v>2</v>
      </c>
      <c r="H767">
        <v>13963.36</v>
      </c>
      <c r="I767">
        <v>0.2</v>
      </c>
      <c r="J767">
        <v>22341.38</v>
      </c>
      <c r="K767">
        <v>4868.94</v>
      </c>
      <c r="L767">
        <v>2.4</v>
      </c>
      <c r="M767" s="53">
        <v>45580</v>
      </c>
      <c r="N767" t="s">
        <v>22</v>
      </c>
      <c r="O767" t="s">
        <v>23</v>
      </c>
      <c r="P767" s="54">
        <v>0.217933717612788</v>
      </c>
    </row>
    <row r="768" spans="1:16">
      <c r="A768" t="s">
        <v>2119</v>
      </c>
      <c r="B768" t="s">
        <v>2120</v>
      </c>
      <c r="C768" t="s">
        <v>2121</v>
      </c>
      <c r="D768" t="s">
        <v>19</v>
      </c>
      <c r="E768" t="s">
        <v>129</v>
      </c>
      <c r="F768" t="s">
        <v>167</v>
      </c>
      <c r="G768">
        <v>4</v>
      </c>
      <c r="H768">
        <v>6237.18</v>
      </c>
      <c r="I768">
        <v>0.1</v>
      </c>
      <c r="J768">
        <v>22453.85</v>
      </c>
      <c r="K768">
        <v>1175.26</v>
      </c>
      <c r="L768">
        <v>3.5</v>
      </c>
      <c r="M768" s="53">
        <v>45205</v>
      </c>
      <c r="N768" t="s">
        <v>22</v>
      </c>
      <c r="O768" t="s">
        <v>23</v>
      </c>
      <c r="P768" s="54">
        <v>0.0523411352618816</v>
      </c>
    </row>
    <row r="769" spans="1:16">
      <c r="A769" t="s">
        <v>2122</v>
      </c>
      <c r="B769" t="s">
        <v>2123</v>
      </c>
      <c r="C769" t="s">
        <v>2124</v>
      </c>
      <c r="D769" t="s">
        <v>27</v>
      </c>
      <c r="E769" t="s">
        <v>28</v>
      </c>
      <c r="F769" t="s">
        <v>192</v>
      </c>
      <c r="G769">
        <v>4</v>
      </c>
      <c r="H769">
        <v>3579.88</v>
      </c>
      <c r="I769">
        <v>0.15</v>
      </c>
      <c r="J769">
        <v>12171.59</v>
      </c>
      <c r="K769">
        <v>3025.41</v>
      </c>
      <c r="L769">
        <v>3</v>
      </c>
      <c r="M769" s="53">
        <v>45395</v>
      </c>
      <c r="N769" t="s">
        <v>43</v>
      </c>
      <c r="O769" t="s">
        <v>23</v>
      </c>
      <c r="P769" s="54">
        <v>0.248563252623527</v>
      </c>
    </row>
    <row r="770" spans="1:16">
      <c r="A770" t="s">
        <v>2125</v>
      </c>
      <c r="B770" t="s">
        <v>2126</v>
      </c>
      <c r="C770" t="s">
        <v>2127</v>
      </c>
      <c r="D770" t="s">
        <v>27</v>
      </c>
      <c r="E770" t="s">
        <v>233</v>
      </c>
      <c r="F770" t="s">
        <v>606</v>
      </c>
      <c r="G770">
        <v>4</v>
      </c>
      <c r="H770">
        <v>19224.93</v>
      </c>
      <c r="I770">
        <v>0</v>
      </c>
      <c r="J770">
        <v>76899.72</v>
      </c>
      <c r="K770">
        <v>9446.59</v>
      </c>
      <c r="L770">
        <v>2.6</v>
      </c>
      <c r="M770" s="53">
        <v>45470</v>
      </c>
      <c r="N770" t="s">
        <v>30</v>
      </c>
      <c r="O770" t="s">
        <v>31</v>
      </c>
      <c r="P770" s="54">
        <v>0.122842970039423</v>
      </c>
    </row>
    <row r="771" spans="1:16">
      <c r="A771" t="s">
        <v>2128</v>
      </c>
      <c r="B771" t="s">
        <v>1402</v>
      </c>
      <c r="C771" t="s">
        <v>2129</v>
      </c>
      <c r="D771" t="s">
        <v>27</v>
      </c>
      <c r="E771" t="s">
        <v>233</v>
      </c>
      <c r="F771" t="s">
        <v>234</v>
      </c>
      <c r="G771">
        <v>3</v>
      </c>
      <c r="H771">
        <v>2144.99</v>
      </c>
      <c r="I771">
        <v>0.1</v>
      </c>
      <c r="J771">
        <v>5791.47</v>
      </c>
      <c r="K771">
        <v>397.84</v>
      </c>
      <c r="L771">
        <v>3</v>
      </c>
      <c r="M771" s="53">
        <v>45026</v>
      </c>
      <c r="N771" t="s">
        <v>30</v>
      </c>
      <c r="O771" t="s">
        <v>31</v>
      </c>
      <c r="P771" s="54">
        <v>0.0686941311963975</v>
      </c>
    </row>
    <row r="772" spans="1:16">
      <c r="A772" t="s">
        <v>2130</v>
      </c>
      <c r="B772" t="s">
        <v>2131</v>
      </c>
      <c r="C772" t="s">
        <v>2132</v>
      </c>
      <c r="D772" t="s">
        <v>53</v>
      </c>
      <c r="E772" t="s">
        <v>100</v>
      </c>
      <c r="F772" t="s">
        <v>229</v>
      </c>
      <c r="G772">
        <v>3</v>
      </c>
      <c r="H772">
        <v>16599.36</v>
      </c>
      <c r="I772">
        <v>0.1</v>
      </c>
      <c r="J772">
        <v>44818.27</v>
      </c>
      <c r="K772">
        <v>6478.32</v>
      </c>
      <c r="L772">
        <v>2</v>
      </c>
      <c r="M772" s="53">
        <v>44956</v>
      </c>
      <c r="N772" t="s">
        <v>43</v>
      </c>
      <c r="O772" t="s">
        <v>57</v>
      </c>
      <c r="P772" s="54">
        <v>0.14454640931031</v>
      </c>
    </row>
    <row r="773" spans="1:16">
      <c r="A773" t="s">
        <v>2133</v>
      </c>
      <c r="B773" t="s">
        <v>2134</v>
      </c>
      <c r="C773" t="s">
        <v>2135</v>
      </c>
      <c r="D773" t="s">
        <v>27</v>
      </c>
      <c r="E773" t="s">
        <v>233</v>
      </c>
      <c r="F773" t="s">
        <v>362</v>
      </c>
      <c r="G773">
        <v>2</v>
      </c>
      <c r="H773">
        <v>4638.93</v>
      </c>
      <c r="I773">
        <v>0.15</v>
      </c>
      <c r="J773">
        <v>7886.18</v>
      </c>
      <c r="K773">
        <v>1059.08</v>
      </c>
      <c r="L773">
        <v>4.8</v>
      </c>
      <c r="M773" s="53">
        <v>45632</v>
      </c>
      <c r="N773" t="s">
        <v>43</v>
      </c>
      <c r="O773" t="s">
        <v>31</v>
      </c>
      <c r="P773" s="54">
        <v>0.134295691957323</v>
      </c>
    </row>
    <row r="774" spans="1:16">
      <c r="A774" t="s">
        <v>2136</v>
      </c>
      <c r="B774" t="s">
        <v>727</v>
      </c>
      <c r="C774" t="s">
        <v>2137</v>
      </c>
      <c r="D774" t="s">
        <v>40</v>
      </c>
      <c r="E774" t="s">
        <v>81</v>
      </c>
      <c r="F774" t="s">
        <v>358</v>
      </c>
      <c r="G774">
        <v>1</v>
      </c>
      <c r="H774">
        <v>4909.86</v>
      </c>
      <c r="I774">
        <v>0.15</v>
      </c>
      <c r="J774">
        <v>4173.38</v>
      </c>
      <c r="K774">
        <v>461.06</v>
      </c>
      <c r="L774">
        <v>1.9</v>
      </c>
      <c r="M774" s="53">
        <v>45019</v>
      </c>
      <c r="N774" t="s">
        <v>43</v>
      </c>
      <c r="O774" t="s">
        <v>73</v>
      </c>
      <c r="P774" s="54">
        <v>0.110476400423637</v>
      </c>
    </row>
    <row r="775" spans="1:16">
      <c r="A775" t="s">
        <v>2138</v>
      </c>
      <c r="B775" t="s">
        <v>2139</v>
      </c>
      <c r="C775" t="s">
        <v>2140</v>
      </c>
      <c r="D775" t="s">
        <v>19</v>
      </c>
      <c r="E775" t="s">
        <v>35</v>
      </c>
      <c r="F775" t="s">
        <v>121</v>
      </c>
      <c r="G775">
        <v>4</v>
      </c>
      <c r="H775">
        <v>2766.65</v>
      </c>
      <c r="I775">
        <v>0.2</v>
      </c>
      <c r="J775">
        <v>8853.28</v>
      </c>
      <c r="K775">
        <v>783.37</v>
      </c>
      <c r="L775">
        <v>1.4</v>
      </c>
      <c r="M775" s="53">
        <v>44967</v>
      </c>
      <c r="N775" t="s">
        <v>43</v>
      </c>
      <c r="O775" t="s">
        <v>44</v>
      </c>
      <c r="P775" s="54">
        <v>0.0884835902625919</v>
      </c>
    </row>
    <row r="776" spans="1:16">
      <c r="A776" t="s">
        <v>2141</v>
      </c>
      <c r="B776" t="s">
        <v>322</v>
      </c>
      <c r="C776" t="s">
        <v>2142</v>
      </c>
      <c r="D776" t="s">
        <v>40</v>
      </c>
      <c r="E776" t="s">
        <v>262</v>
      </c>
      <c r="F776" t="s">
        <v>263</v>
      </c>
      <c r="G776">
        <v>1</v>
      </c>
      <c r="H776">
        <v>8024.18</v>
      </c>
      <c r="I776">
        <v>0</v>
      </c>
      <c r="J776">
        <v>8024.18</v>
      </c>
      <c r="K776">
        <v>1339.77</v>
      </c>
      <c r="L776">
        <v>2.6</v>
      </c>
      <c r="M776" s="53">
        <v>45230</v>
      </c>
      <c r="N776" t="s">
        <v>43</v>
      </c>
      <c r="O776" t="s">
        <v>73</v>
      </c>
      <c r="P776" s="54">
        <v>0.166966593471233</v>
      </c>
    </row>
    <row r="777" spans="1:16">
      <c r="A777" t="s">
        <v>2143</v>
      </c>
      <c r="B777" t="s">
        <v>2144</v>
      </c>
      <c r="C777" t="s">
        <v>2145</v>
      </c>
      <c r="D777" t="s">
        <v>27</v>
      </c>
      <c r="E777" t="s">
        <v>233</v>
      </c>
      <c r="F777" t="s">
        <v>234</v>
      </c>
      <c r="G777">
        <v>1</v>
      </c>
      <c r="H777">
        <v>7924.46</v>
      </c>
      <c r="I777">
        <v>0.2</v>
      </c>
      <c r="J777">
        <v>6339.57</v>
      </c>
      <c r="K777">
        <v>637.8</v>
      </c>
      <c r="L777">
        <v>4.5</v>
      </c>
      <c r="M777" s="53">
        <v>45556</v>
      </c>
      <c r="N777" t="s">
        <v>43</v>
      </c>
      <c r="O777" t="s">
        <v>31</v>
      </c>
      <c r="P777" s="54">
        <v>0.100606192533563</v>
      </c>
    </row>
    <row r="778" spans="1:16">
      <c r="A778" t="s">
        <v>2146</v>
      </c>
      <c r="B778" t="s">
        <v>2147</v>
      </c>
      <c r="C778" t="s">
        <v>2148</v>
      </c>
      <c r="D778" t="s">
        <v>27</v>
      </c>
      <c r="E778" t="s">
        <v>233</v>
      </c>
      <c r="F778" t="s">
        <v>234</v>
      </c>
      <c r="G778">
        <v>1</v>
      </c>
      <c r="H778">
        <v>6178.21</v>
      </c>
      <c r="I778">
        <v>0</v>
      </c>
      <c r="J778">
        <v>6178.21</v>
      </c>
      <c r="K778">
        <v>1131.01</v>
      </c>
      <c r="L778">
        <v>3.4</v>
      </c>
      <c r="M778" s="53">
        <v>45379</v>
      </c>
      <c r="N778" t="s">
        <v>30</v>
      </c>
      <c r="O778" t="s">
        <v>23</v>
      </c>
      <c r="P778" s="54">
        <v>0.183064350353905</v>
      </c>
    </row>
    <row r="779" spans="1:16">
      <c r="A779" t="s">
        <v>2149</v>
      </c>
      <c r="B779" t="s">
        <v>2123</v>
      </c>
      <c r="C779" t="s">
        <v>2150</v>
      </c>
      <c r="D779" t="s">
        <v>19</v>
      </c>
      <c r="E779" t="s">
        <v>35</v>
      </c>
      <c r="F779" t="s">
        <v>121</v>
      </c>
      <c r="G779">
        <v>3</v>
      </c>
      <c r="H779">
        <v>16550.45</v>
      </c>
      <c r="I779">
        <v>0.2</v>
      </c>
      <c r="J779">
        <v>39721.08</v>
      </c>
      <c r="K779">
        <v>5811.75</v>
      </c>
      <c r="L779">
        <v>4.8</v>
      </c>
      <c r="M779" s="53">
        <v>45129</v>
      </c>
      <c r="N779" t="s">
        <v>43</v>
      </c>
      <c r="O779" t="s">
        <v>31</v>
      </c>
      <c r="P779" s="54">
        <v>0.1463139975046</v>
      </c>
    </row>
    <row r="780" spans="1:16">
      <c r="A780" t="s">
        <v>2151</v>
      </c>
      <c r="B780" t="s">
        <v>1124</v>
      </c>
      <c r="C780" t="s">
        <v>2152</v>
      </c>
      <c r="D780" t="s">
        <v>19</v>
      </c>
      <c r="E780" t="s">
        <v>129</v>
      </c>
      <c r="F780" t="s">
        <v>320</v>
      </c>
      <c r="G780">
        <v>5</v>
      </c>
      <c r="H780">
        <v>11359.4</v>
      </c>
      <c r="I780">
        <v>0.1</v>
      </c>
      <c r="J780">
        <v>51117.3</v>
      </c>
      <c r="K780">
        <v>7199.04</v>
      </c>
      <c r="L780">
        <v>4.7</v>
      </c>
      <c r="M780" s="53">
        <v>45441</v>
      </c>
      <c r="N780" t="s">
        <v>30</v>
      </c>
      <c r="O780" t="s">
        <v>73</v>
      </c>
      <c r="P780" s="54">
        <v>0.140833729481017</v>
      </c>
    </row>
    <row r="781" spans="1:16">
      <c r="A781" t="s">
        <v>2153</v>
      </c>
      <c r="B781" t="s">
        <v>783</v>
      </c>
      <c r="C781" t="s">
        <v>2154</v>
      </c>
      <c r="D781" t="s">
        <v>27</v>
      </c>
      <c r="E781" t="s">
        <v>48</v>
      </c>
      <c r="F781" t="s">
        <v>49</v>
      </c>
      <c r="G781">
        <v>1</v>
      </c>
      <c r="H781">
        <v>18927.74</v>
      </c>
      <c r="I781">
        <v>0.05</v>
      </c>
      <c r="J781">
        <v>17981.35</v>
      </c>
      <c r="K781">
        <v>3476.61</v>
      </c>
      <c r="L781">
        <v>4.7</v>
      </c>
      <c r="M781" s="53">
        <v>45598</v>
      </c>
      <c r="N781" t="s">
        <v>43</v>
      </c>
      <c r="O781" t="s">
        <v>73</v>
      </c>
      <c r="P781" s="54">
        <v>0.193345327241837</v>
      </c>
    </row>
    <row r="782" spans="1:16">
      <c r="A782" t="s">
        <v>2155</v>
      </c>
      <c r="B782" t="s">
        <v>2002</v>
      </c>
      <c r="C782" t="s">
        <v>2156</v>
      </c>
      <c r="D782" t="s">
        <v>40</v>
      </c>
      <c r="E782" t="s">
        <v>262</v>
      </c>
      <c r="F782" t="s">
        <v>385</v>
      </c>
      <c r="G782">
        <v>3</v>
      </c>
      <c r="H782">
        <v>2317.71</v>
      </c>
      <c r="I782">
        <v>0.15</v>
      </c>
      <c r="J782">
        <v>5910.16</v>
      </c>
      <c r="K782">
        <v>848.42</v>
      </c>
      <c r="L782">
        <v>3</v>
      </c>
      <c r="M782" s="53">
        <v>45024</v>
      </c>
      <c r="N782" t="s">
        <v>43</v>
      </c>
      <c r="O782" t="s">
        <v>73</v>
      </c>
      <c r="P782" s="54">
        <v>0.143552797216996</v>
      </c>
    </row>
    <row r="783" spans="1:16">
      <c r="A783" t="s">
        <v>2157</v>
      </c>
      <c r="B783" t="s">
        <v>2158</v>
      </c>
      <c r="C783" t="s">
        <v>2159</v>
      </c>
      <c r="D783" t="s">
        <v>27</v>
      </c>
      <c r="E783" t="s">
        <v>117</v>
      </c>
      <c r="F783" t="s">
        <v>118</v>
      </c>
      <c r="G783">
        <v>4</v>
      </c>
      <c r="H783">
        <v>3627.77</v>
      </c>
      <c r="I783">
        <v>0.05</v>
      </c>
      <c r="J783">
        <v>13785.53</v>
      </c>
      <c r="K783">
        <v>2379.36</v>
      </c>
      <c r="L783">
        <v>3.3</v>
      </c>
      <c r="M783" s="53">
        <v>45237</v>
      </c>
      <c r="N783" t="s">
        <v>43</v>
      </c>
      <c r="O783" t="s">
        <v>31</v>
      </c>
      <c r="P783" s="54">
        <v>0.172598369449706</v>
      </c>
    </row>
    <row r="784" spans="1:16">
      <c r="A784" t="s">
        <v>2160</v>
      </c>
      <c r="B784" t="s">
        <v>2161</v>
      </c>
      <c r="C784" t="s">
        <v>2162</v>
      </c>
      <c r="D784" t="s">
        <v>53</v>
      </c>
      <c r="E784" t="s">
        <v>71</v>
      </c>
      <c r="F784" t="s">
        <v>72</v>
      </c>
      <c r="G784">
        <v>3</v>
      </c>
      <c r="H784">
        <v>14133.94</v>
      </c>
      <c r="I784">
        <v>0.1</v>
      </c>
      <c r="J784">
        <v>38161.64</v>
      </c>
      <c r="K784">
        <v>3556.17</v>
      </c>
      <c r="L784">
        <v>4.6</v>
      </c>
      <c r="M784" s="53">
        <v>44952</v>
      </c>
      <c r="N784" t="s">
        <v>22</v>
      </c>
      <c r="O784" t="s">
        <v>23</v>
      </c>
      <c r="P784" s="54">
        <v>0.0931870328424041</v>
      </c>
    </row>
    <row r="785" spans="1:16">
      <c r="A785" t="s">
        <v>2163</v>
      </c>
      <c r="B785" t="s">
        <v>1251</v>
      </c>
      <c r="C785" t="s">
        <v>2164</v>
      </c>
      <c r="D785" t="s">
        <v>27</v>
      </c>
      <c r="E785" t="s">
        <v>28</v>
      </c>
      <c r="F785" t="s">
        <v>225</v>
      </c>
      <c r="G785">
        <v>4</v>
      </c>
      <c r="H785">
        <v>1530.67</v>
      </c>
      <c r="I785">
        <v>0</v>
      </c>
      <c r="J785">
        <v>6122.68</v>
      </c>
      <c r="K785">
        <v>442.12</v>
      </c>
      <c r="L785">
        <v>4.3</v>
      </c>
      <c r="M785" s="53">
        <v>45241</v>
      </c>
      <c r="N785" t="s">
        <v>30</v>
      </c>
      <c r="O785" t="s">
        <v>73</v>
      </c>
      <c r="P785" s="54">
        <v>0.0722102086014621</v>
      </c>
    </row>
    <row r="786" spans="1:16">
      <c r="A786" t="s">
        <v>2165</v>
      </c>
      <c r="B786" t="s">
        <v>526</v>
      </c>
      <c r="C786" t="s">
        <v>2166</v>
      </c>
      <c r="D786" t="s">
        <v>27</v>
      </c>
      <c r="E786" t="s">
        <v>117</v>
      </c>
      <c r="F786" t="s">
        <v>225</v>
      </c>
      <c r="G786">
        <v>2</v>
      </c>
      <c r="H786">
        <v>15904.05</v>
      </c>
      <c r="I786">
        <v>0.15</v>
      </c>
      <c r="J786">
        <v>27036.88</v>
      </c>
      <c r="K786">
        <v>5145.18</v>
      </c>
      <c r="L786">
        <v>1.4</v>
      </c>
      <c r="M786" s="53">
        <v>45488</v>
      </c>
      <c r="N786" t="s">
        <v>22</v>
      </c>
      <c r="O786" t="s">
        <v>31</v>
      </c>
      <c r="P786" s="54">
        <v>0.190302283399564</v>
      </c>
    </row>
    <row r="787" spans="1:16">
      <c r="A787" t="s">
        <v>2167</v>
      </c>
      <c r="B787" t="s">
        <v>815</v>
      </c>
      <c r="C787" t="s">
        <v>2168</v>
      </c>
      <c r="D787" t="s">
        <v>53</v>
      </c>
      <c r="E787" t="s">
        <v>71</v>
      </c>
      <c r="F787" t="s">
        <v>72</v>
      </c>
      <c r="G787">
        <v>4</v>
      </c>
      <c r="H787">
        <v>5037.86</v>
      </c>
      <c r="I787">
        <v>0.05</v>
      </c>
      <c r="J787">
        <v>19143.87</v>
      </c>
      <c r="K787">
        <v>1593.73</v>
      </c>
      <c r="L787">
        <v>2.7</v>
      </c>
      <c r="M787" s="53">
        <v>45285</v>
      </c>
      <c r="N787" t="s">
        <v>56</v>
      </c>
      <c r="O787" t="s">
        <v>57</v>
      </c>
      <c r="P787" s="54">
        <v>0.0832501474362289</v>
      </c>
    </row>
    <row r="788" spans="1:16">
      <c r="A788" t="s">
        <v>2169</v>
      </c>
      <c r="B788" t="s">
        <v>707</v>
      </c>
      <c r="C788" t="s">
        <v>2170</v>
      </c>
      <c r="D788" t="s">
        <v>40</v>
      </c>
      <c r="E788" t="s">
        <v>262</v>
      </c>
      <c r="F788" t="s">
        <v>345</v>
      </c>
      <c r="G788">
        <v>4</v>
      </c>
      <c r="H788">
        <v>11014.96</v>
      </c>
      <c r="I788">
        <v>0</v>
      </c>
      <c r="J788">
        <v>44059.84</v>
      </c>
      <c r="K788">
        <v>3278.88</v>
      </c>
      <c r="L788">
        <v>1.4</v>
      </c>
      <c r="M788" s="53">
        <v>45187</v>
      </c>
      <c r="N788" t="s">
        <v>43</v>
      </c>
      <c r="O788" t="s">
        <v>57</v>
      </c>
      <c r="P788" s="54">
        <v>0.0744187904449948</v>
      </c>
    </row>
    <row r="789" spans="1:16">
      <c r="A789" t="s">
        <v>2171</v>
      </c>
      <c r="B789" t="s">
        <v>995</v>
      </c>
      <c r="C789" t="s">
        <v>2172</v>
      </c>
      <c r="D789" t="s">
        <v>40</v>
      </c>
      <c r="E789" t="s">
        <v>41</v>
      </c>
      <c r="F789" t="s">
        <v>125</v>
      </c>
      <c r="G789">
        <v>4</v>
      </c>
      <c r="H789">
        <v>10485.11</v>
      </c>
      <c r="I789">
        <v>0.1</v>
      </c>
      <c r="J789">
        <v>37746.4</v>
      </c>
      <c r="K789">
        <v>4463.96</v>
      </c>
      <c r="L789">
        <v>3.4</v>
      </c>
      <c r="M789" s="53">
        <v>45384</v>
      </c>
      <c r="N789" t="s">
        <v>22</v>
      </c>
      <c r="O789" t="s">
        <v>23</v>
      </c>
      <c r="P789" s="54">
        <v>0.118261873980035</v>
      </c>
    </row>
    <row r="790" spans="1:16">
      <c r="A790" t="s">
        <v>2173</v>
      </c>
      <c r="B790" t="s">
        <v>599</v>
      </c>
      <c r="C790" t="s">
        <v>2174</v>
      </c>
      <c r="D790" t="s">
        <v>19</v>
      </c>
      <c r="E790" t="s">
        <v>35</v>
      </c>
      <c r="F790" t="s">
        <v>245</v>
      </c>
      <c r="G790">
        <v>3</v>
      </c>
      <c r="H790">
        <v>6444.94</v>
      </c>
      <c r="I790">
        <v>0.1</v>
      </c>
      <c r="J790">
        <v>17401.34</v>
      </c>
      <c r="K790">
        <v>3673.43</v>
      </c>
      <c r="L790">
        <v>1.6</v>
      </c>
      <c r="M790" s="53">
        <v>44940</v>
      </c>
      <c r="N790" t="s">
        <v>22</v>
      </c>
      <c r="O790" t="s">
        <v>57</v>
      </c>
      <c r="P790" s="54">
        <v>0.211100409508693</v>
      </c>
    </row>
    <row r="791" spans="1:16">
      <c r="A791" t="s">
        <v>2175</v>
      </c>
      <c r="B791" t="s">
        <v>417</v>
      </c>
      <c r="C791" t="s">
        <v>2090</v>
      </c>
      <c r="D791" t="s">
        <v>40</v>
      </c>
      <c r="E791" t="s">
        <v>41</v>
      </c>
      <c r="F791" t="s">
        <v>42</v>
      </c>
      <c r="G791">
        <v>4</v>
      </c>
      <c r="H791">
        <v>6930.19</v>
      </c>
      <c r="I791">
        <v>0.2</v>
      </c>
      <c r="J791">
        <v>22176.61</v>
      </c>
      <c r="K791">
        <v>2660.92</v>
      </c>
      <c r="L791">
        <v>2.5</v>
      </c>
      <c r="M791" s="53">
        <v>45264</v>
      </c>
      <c r="N791" t="s">
        <v>30</v>
      </c>
      <c r="O791" t="s">
        <v>57</v>
      </c>
      <c r="P791" s="54">
        <v>0.11998768071405</v>
      </c>
    </row>
    <row r="792" spans="1:16">
      <c r="A792" t="s">
        <v>2176</v>
      </c>
      <c r="B792" t="s">
        <v>2177</v>
      </c>
      <c r="C792" t="s">
        <v>370</v>
      </c>
      <c r="D792" t="s">
        <v>53</v>
      </c>
      <c r="E792" t="s">
        <v>100</v>
      </c>
      <c r="F792" t="s">
        <v>229</v>
      </c>
      <c r="G792">
        <v>3</v>
      </c>
      <c r="H792">
        <v>9058.81</v>
      </c>
      <c r="I792">
        <v>0.15</v>
      </c>
      <c r="J792">
        <v>23099.97</v>
      </c>
      <c r="K792">
        <v>3332.04</v>
      </c>
      <c r="L792">
        <v>1.3</v>
      </c>
      <c r="M792" s="53">
        <v>45478</v>
      </c>
      <c r="N792" t="s">
        <v>30</v>
      </c>
      <c r="O792" t="s">
        <v>73</v>
      </c>
      <c r="P792" s="54">
        <v>0.144244343174472</v>
      </c>
    </row>
    <row r="793" spans="1:16">
      <c r="A793" t="s">
        <v>2178</v>
      </c>
      <c r="B793" t="s">
        <v>2179</v>
      </c>
      <c r="C793" t="s">
        <v>2180</v>
      </c>
      <c r="D793" t="s">
        <v>19</v>
      </c>
      <c r="E793" t="s">
        <v>129</v>
      </c>
      <c r="F793" t="s">
        <v>320</v>
      </c>
      <c r="G793">
        <v>1</v>
      </c>
      <c r="H793">
        <v>15068.65</v>
      </c>
      <c r="I793">
        <v>0.2</v>
      </c>
      <c r="J793">
        <v>12054.92</v>
      </c>
      <c r="K793">
        <v>1412.08</v>
      </c>
      <c r="L793">
        <v>2.9</v>
      </c>
      <c r="M793" s="53">
        <v>45502</v>
      </c>
      <c r="N793" t="s">
        <v>56</v>
      </c>
      <c r="O793" t="s">
        <v>57</v>
      </c>
      <c r="P793" s="54">
        <v>0.117137235253324</v>
      </c>
    </row>
    <row r="794" spans="1:16">
      <c r="A794" t="s">
        <v>2181</v>
      </c>
      <c r="B794" t="s">
        <v>2182</v>
      </c>
      <c r="C794" t="s">
        <v>2183</v>
      </c>
      <c r="D794" t="s">
        <v>19</v>
      </c>
      <c r="E794" t="s">
        <v>86</v>
      </c>
      <c r="F794" t="s">
        <v>87</v>
      </c>
      <c r="G794">
        <v>3</v>
      </c>
      <c r="H794">
        <v>11915.65</v>
      </c>
      <c r="I794">
        <v>0.05</v>
      </c>
      <c r="J794">
        <v>33959.6</v>
      </c>
      <c r="K794">
        <v>4475.91</v>
      </c>
      <c r="L794">
        <v>3.3</v>
      </c>
      <c r="M794" s="53">
        <v>45166</v>
      </c>
      <c r="N794" t="s">
        <v>56</v>
      </c>
      <c r="O794" t="s">
        <v>57</v>
      </c>
      <c r="P794" s="54">
        <v>0.131801022391312</v>
      </c>
    </row>
    <row r="795" spans="1:16">
      <c r="A795" t="s">
        <v>2184</v>
      </c>
      <c r="B795" t="s">
        <v>1523</v>
      </c>
      <c r="C795" t="s">
        <v>2185</v>
      </c>
      <c r="D795" t="s">
        <v>27</v>
      </c>
      <c r="E795" t="s">
        <v>48</v>
      </c>
      <c r="F795" t="s">
        <v>49</v>
      </c>
      <c r="G795">
        <v>4</v>
      </c>
      <c r="H795">
        <v>9019.41</v>
      </c>
      <c r="I795">
        <v>0.2</v>
      </c>
      <c r="J795">
        <v>28862.11</v>
      </c>
      <c r="K795">
        <v>1525.84</v>
      </c>
      <c r="L795">
        <v>2.2</v>
      </c>
      <c r="M795" s="53">
        <v>45224</v>
      </c>
      <c r="N795" t="s">
        <v>30</v>
      </c>
      <c r="O795" t="s">
        <v>57</v>
      </c>
      <c r="P795" s="54">
        <v>0.052866543714233</v>
      </c>
    </row>
    <row r="796" spans="1:16">
      <c r="A796" t="s">
        <v>2186</v>
      </c>
      <c r="B796" t="s">
        <v>2187</v>
      </c>
      <c r="C796" t="s">
        <v>2188</v>
      </c>
      <c r="D796" t="s">
        <v>19</v>
      </c>
      <c r="E796" t="s">
        <v>35</v>
      </c>
      <c r="F796" t="s">
        <v>36</v>
      </c>
      <c r="G796">
        <v>1</v>
      </c>
      <c r="H796">
        <v>4222.6</v>
      </c>
      <c r="I796">
        <v>0.15</v>
      </c>
      <c r="J796">
        <v>3589.21</v>
      </c>
      <c r="K796">
        <v>211.25</v>
      </c>
      <c r="L796">
        <v>1</v>
      </c>
      <c r="M796" s="53">
        <v>44995</v>
      </c>
      <c r="N796" t="s">
        <v>22</v>
      </c>
      <c r="O796" t="s">
        <v>23</v>
      </c>
      <c r="P796" s="54">
        <v>0.0588569629528504</v>
      </c>
    </row>
    <row r="797" spans="1:16">
      <c r="A797" t="s">
        <v>2189</v>
      </c>
      <c r="B797" t="s">
        <v>127</v>
      </c>
      <c r="C797" t="s">
        <v>2190</v>
      </c>
      <c r="D797" t="s">
        <v>19</v>
      </c>
      <c r="E797" t="s">
        <v>35</v>
      </c>
      <c r="F797" t="s">
        <v>36</v>
      </c>
      <c r="G797">
        <v>2</v>
      </c>
      <c r="H797">
        <v>2728.76</v>
      </c>
      <c r="I797">
        <v>0.05</v>
      </c>
      <c r="J797">
        <v>5184.64</v>
      </c>
      <c r="K797">
        <v>1061.29</v>
      </c>
      <c r="L797">
        <v>4.7</v>
      </c>
      <c r="M797" s="53">
        <v>45001</v>
      </c>
      <c r="N797" t="s">
        <v>43</v>
      </c>
      <c r="O797" t="s">
        <v>31</v>
      </c>
      <c r="P797" s="54">
        <v>0.20469887976793</v>
      </c>
    </row>
    <row r="798" spans="1:16">
      <c r="A798" t="s">
        <v>2191</v>
      </c>
      <c r="B798" t="s">
        <v>768</v>
      </c>
      <c r="C798" t="s">
        <v>2192</v>
      </c>
      <c r="D798" t="s">
        <v>19</v>
      </c>
      <c r="E798" t="s">
        <v>35</v>
      </c>
      <c r="F798" t="s">
        <v>215</v>
      </c>
      <c r="G798">
        <v>2</v>
      </c>
      <c r="H798">
        <v>1379.46</v>
      </c>
      <c r="I798">
        <v>0.05</v>
      </c>
      <c r="J798">
        <v>2620.97</v>
      </c>
      <c r="K798">
        <v>567.95</v>
      </c>
      <c r="L798">
        <v>1.7</v>
      </c>
      <c r="M798" s="53">
        <v>45047</v>
      </c>
      <c r="N798" t="s">
        <v>43</v>
      </c>
      <c r="O798" t="s">
        <v>44</v>
      </c>
      <c r="P798" s="54">
        <v>0.216694582540052</v>
      </c>
    </row>
    <row r="799" spans="1:16">
      <c r="A799" t="s">
        <v>2193</v>
      </c>
      <c r="B799" t="s">
        <v>2194</v>
      </c>
      <c r="C799" t="s">
        <v>2195</v>
      </c>
      <c r="D799" t="s">
        <v>53</v>
      </c>
      <c r="E799" t="s">
        <v>54</v>
      </c>
      <c r="F799" t="s">
        <v>109</v>
      </c>
      <c r="G799">
        <v>5</v>
      </c>
      <c r="H799">
        <v>14393.17</v>
      </c>
      <c r="I799">
        <v>0.2</v>
      </c>
      <c r="J799">
        <v>57572.68</v>
      </c>
      <c r="K799">
        <v>7474.84</v>
      </c>
      <c r="L799">
        <v>1.4</v>
      </c>
      <c r="M799" s="53">
        <v>45226</v>
      </c>
      <c r="N799" t="s">
        <v>56</v>
      </c>
      <c r="O799" t="s">
        <v>57</v>
      </c>
      <c r="P799" s="54">
        <v>0.12983310834236</v>
      </c>
    </row>
    <row r="800" spans="1:16">
      <c r="A800" t="s">
        <v>2196</v>
      </c>
      <c r="B800" t="s">
        <v>834</v>
      </c>
      <c r="C800" t="s">
        <v>2197</v>
      </c>
      <c r="D800" t="s">
        <v>40</v>
      </c>
      <c r="E800" t="s">
        <v>41</v>
      </c>
      <c r="F800" t="s">
        <v>42</v>
      </c>
      <c r="G800">
        <v>3</v>
      </c>
      <c r="H800">
        <v>17239.66</v>
      </c>
      <c r="I800">
        <v>0.15</v>
      </c>
      <c r="J800">
        <v>43961.13</v>
      </c>
      <c r="K800">
        <v>2996.17</v>
      </c>
      <c r="L800">
        <v>1.9</v>
      </c>
      <c r="M800" s="53">
        <v>45611</v>
      </c>
      <c r="N800" t="s">
        <v>30</v>
      </c>
      <c r="O800" t="s">
        <v>73</v>
      </c>
      <c r="P800" s="54">
        <v>0.068154981457483</v>
      </c>
    </row>
    <row r="801" spans="1:16">
      <c r="A801" t="s">
        <v>2198</v>
      </c>
      <c r="B801" t="s">
        <v>1739</v>
      </c>
      <c r="C801" t="s">
        <v>2199</v>
      </c>
      <c r="D801" t="s">
        <v>53</v>
      </c>
      <c r="E801" t="s">
        <v>54</v>
      </c>
      <c r="F801" t="s">
        <v>249</v>
      </c>
      <c r="G801">
        <v>4</v>
      </c>
      <c r="H801">
        <v>15438.44</v>
      </c>
      <c r="I801">
        <v>0.2</v>
      </c>
      <c r="J801">
        <v>49403.01</v>
      </c>
      <c r="K801">
        <v>3640.83</v>
      </c>
      <c r="L801">
        <v>4.4</v>
      </c>
      <c r="M801" s="53">
        <v>45033</v>
      </c>
      <c r="N801" t="s">
        <v>30</v>
      </c>
      <c r="O801" t="s">
        <v>23</v>
      </c>
      <c r="P801" s="54">
        <v>0.0736965217301537</v>
      </c>
    </row>
    <row r="802" spans="1:16">
      <c r="A802" t="s">
        <v>2200</v>
      </c>
      <c r="B802" t="s">
        <v>2134</v>
      </c>
      <c r="C802" t="s">
        <v>2201</v>
      </c>
      <c r="D802" t="s">
        <v>53</v>
      </c>
      <c r="E802" t="s">
        <v>95</v>
      </c>
      <c r="F802" t="s">
        <v>271</v>
      </c>
      <c r="G802">
        <v>4</v>
      </c>
      <c r="H802">
        <v>11119.15</v>
      </c>
      <c r="I802">
        <v>0.05</v>
      </c>
      <c r="J802">
        <v>42252.77</v>
      </c>
      <c r="K802">
        <v>6378.15</v>
      </c>
      <c r="L802">
        <v>4.3</v>
      </c>
      <c r="M802" s="53">
        <v>45651</v>
      </c>
      <c r="N802" t="s">
        <v>56</v>
      </c>
      <c r="O802" t="s">
        <v>31</v>
      </c>
      <c r="P802" s="54">
        <v>0.150952233427536</v>
      </c>
    </row>
    <row r="803" spans="1:16">
      <c r="A803" t="s">
        <v>2202</v>
      </c>
      <c r="B803" t="s">
        <v>2203</v>
      </c>
      <c r="C803" t="s">
        <v>2204</v>
      </c>
      <c r="D803" t="s">
        <v>53</v>
      </c>
      <c r="E803" t="s">
        <v>100</v>
      </c>
      <c r="F803" t="s">
        <v>229</v>
      </c>
      <c r="G803">
        <v>3</v>
      </c>
      <c r="H803">
        <v>19956.37</v>
      </c>
      <c r="I803">
        <v>0.05</v>
      </c>
      <c r="J803">
        <v>56875.65</v>
      </c>
      <c r="K803">
        <v>4843.81</v>
      </c>
      <c r="L803">
        <v>4.3</v>
      </c>
      <c r="M803" s="53">
        <v>45613</v>
      </c>
      <c r="N803" t="s">
        <v>30</v>
      </c>
      <c r="O803" t="s">
        <v>31</v>
      </c>
      <c r="P803" s="54">
        <v>0.0851649167965553</v>
      </c>
    </row>
    <row r="804" spans="1:16">
      <c r="A804" t="s">
        <v>2205</v>
      </c>
      <c r="B804" t="s">
        <v>2206</v>
      </c>
      <c r="C804" t="s">
        <v>2207</v>
      </c>
      <c r="D804" t="s">
        <v>40</v>
      </c>
      <c r="E804" t="s">
        <v>262</v>
      </c>
      <c r="F804" t="s">
        <v>263</v>
      </c>
      <c r="G804">
        <v>5</v>
      </c>
      <c r="H804">
        <v>18199.19</v>
      </c>
      <c r="I804">
        <v>0.1</v>
      </c>
      <c r="J804">
        <v>81896.35</v>
      </c>
      <c r="K804">
        <v>16839.66</v>
      </c>
      <c r="L804">
        <v>3.9</v>
      </c>
      <c r="M804" s="53">
        <v>45287</v>
      </c>
      <c r="N804" t="s">
        <v>22</v>
      </c>
      <c r="O804" t="s">
        <v>23</v>
      </c>
      <c r="P804" s="54">
        <v>0.205621618057459</v>
      </c>
    </row>
    <row r="805" spans="1:16">
      <c r="A805" t="s">
        <v>2208</v>
      </c>
      <c r="B805" t="s">
        <v>2209</v>
      </c>
      <c r="C805" t="s">
        <v>2210</v>
      </c>
      <c r="D805" t="s">
        <v>27</v>
      </c>
      <c r="E805" t="s">
        <v>233</v>
      </c>
      <c r="F805" t="s">
        <v>665</v>
      </c>
      <c r="G805">
        <v>4</v>
      </c>
      <c r="H805">
        <v>3562.76</v>
      </c>
      <c r="I805">
        <v>0.1</v>
      </c>
      <c r="J805">
        <v>12825.94</v>
      </c>
      <c r="K805">
        <v>1582.07</v>
      </c>
      <c r="L805">
        <v>2.4</v>
      </c>
      <c r="M805" s="53">
        <v>45507</v>
      </c>
      <c r="N805" t="s">
        <v>30</v>
      </c>
      <c r="O805" t="s">
        <v>57</v>
      </c>
      <c r="P805" s="54">
        <v>0.123349243798115</v>
      </c>
    </row>
    <row r="806" spans="1:16">
      <c r="A806" t="s">
        <v>2211</v>
      </c>
      <c r="B806" t="s">
        <v>291</v>
      </c>
      <c r="C806" t="s">
        <v>2212</v>
      </c>
      <c r="D806" t="s">
        <v>53</v>
      </c>
      <c r="E806" t="s">
        <v>95</v>
      </c>
      <c r="F806" t="s">
        <v>524</v>
      </c>
      <c r="G806">
        <v>1</v>
      </c>
      <c r="H806">
        <v>10088.8</v>
      </c>
      <c r="I806">
        <v>0.1</v>
      </c>
      <c r="J806">
        <v>9079.92</v>
      </c>
      <c r="K806">
        <v>1356.37</v>
      </c>
      <c r="L806">
        <v>2.1</v>
      </c>
      <c r="M806" s="53">
        <v>45362</v>
      </c>
      <c r="N806" t="s">
        <v>30</v>
      </c>
      <c r="O806" t="s">
        <v>31</v>
      </c>
      <c r="P806" s="54">
        <v>0.149381272081692</v>
      </c>
    </row>
    <row r="807" spans="1:16">
      <c r="A807" t="s">
        <v>2213</v>
      </c>
      <c r="B807" t="s">
        <v>962</v>
      </c>
      <c r="C807" t="s">
        <v>2214</v>
      </c>
      <c r="D807" t="s">
        <v>27</v>
      </c>
      <c r="E807" t="s">
        <v>48</v>
      </c>
      <c r="F807" t="s">
        <v>64</v>
      </c>
      <c r="G807">
        <v>2</v>
      </c>
      <c r="H807">
        <v>9498.91</v>
      </c>
      <c r="I807">
        <v>0.15</v>
      </c>
      <c r="J807">
        <v>16148.15</v>
      </c>
      <c r="K807">
        <v>2881.43</v>
      </c>
      <c r="L807">
        <v>4.3</v>
      </c>
      <c r="M807" s="53">
        <v>45409</v>
      </c>
      <c r="N807" t="s">
        <v>56</v>
      </c>
      <c r="O807" t="s">
        <v>57</v>
      </c>
      <c r="P807" s="54">
        <v>0.178437158436106</v>
      </c>
    </row>
    <row r="808" spans="1:16">
      <c r="A808" t="s">
        <v>2215</v>
      </c>
      <c r="B808" t="s">
        <v>1836</v>
      </c>
      <c r="C808" t="s">
        <v>2216</v>
      </c>
      <c r="D808" t="s">
        <v>53</v>
      </c>
      <c r="E808" t="s">
        <v>71</v>
      </c>
      <c r="F808" t="s">
        <v>72</v>
      </c>
      <c r="G808">
        <v>1</v>
      </c>
      <c r="H808">
        <v>3347.68</v>
      </c>
      <c r="I808">
        <v>0.1</v>
      </c>
      <c r="J808">
        <v>3012.91</v>
      </c>
      <c r="K808">
        <v>745.69</v>
      </c>
      <c r="L808">
        <v>1</v>
      </c>
      <c r="M808" s="53">
        <v>45080</v>
      </c>
      <c r="N808" t="s">
        <v>43</v>
      </c>
      <c r="O808" t="s">
        <v>44</v>
      </c>
      <c r="P808" s="54">
        <v>0.24749826579619</v>
      </c>
    </row>
    <row r="809" spans="1:16">
      <c r="A809" t="s">
        <v>2217</v>
      </c>
      <c r="B809" t="s">
        <v>1205</v>
      </c>
      <c r="C809" t="s">
        <v>2218</v>
      </c>
      <c r="D809" t="s">
        <v>27</v>
      </c>
      <c r="E809" t="s">
        <v>117</v>
      </c>
      <c r="F809" t="s">
        <v>225</v>
      </c>
      <c r="G809">
        <v>1</v>
      </c>
      <c r="H809">
        <v>11379.25</v>
      </c>
      <c r="I809">
        <v>0.1</v>
      </c>
      <c r="J809">
        <v>10241.33</v>
      </c>
      <c r="K809">
        <v>1712.1</v>
      </c>
      <c r="L809">
        <v>3.8</v>
      </c>
      <c r="M809" s="53">
        <v>45059</v>
      </c>
      <c r="N809" t="s">
        <v>22</v>
      </c>
      <c r="O809" t="s">
        <v>23</v>
      </c>
      <c r="P809" s="54">
        <v>0.167175552394074</v>
      </c>
    </row>
    <row r="810" spans="1:16">
      <c r="A810" t="s">
        <v>2219</v>
      </c>
      <c r="B810" t="s">
        <v>1371</v>
      </c>
      <c r="C810" t="s">
        <v>2220</v>
      </c>
      <c r="D810" t="s">
        <v>53</v>
      </c>
      <c r="E810" t="s">
        <v>71</v>
      </c>
      <c r="F810" t="s">
        <v>150</v>
      </c>
      <c r="G810">
        <v>5</v>
      </c>
      <c r="H810">
        <v>14732.59</v>
      </c>
      <c r="I810">
        <v>0.1</v>
      </c>
      <c r="J810">
        <v>66296.65</v>
      </c>
      <c r="K810">
        <v>10144.74</v>
      </c>
      <c r="L810">
        <v>3</v>
      </c>
      <c r="M810" s="53">
        <v>45071</v>
      </c>
      <c r="N810" t="s">
        <v>43</v>
      </c>
      <c r="O810" t="s">
        <v>44</v>
      </c>
      <c r="P810" s="54">
        <v>0.153020401483333</v>
      </c>
    </row>
    <row r="811" spans="1:16">
      <c r="A811" t="s">
        <v>2221</v>
      </c>
      <c r="B811" t="s">
        <v>685</v>
      </c>
      <c r="C811" t="s">
        <v>2222</v>
      </c>
      <c r="D811" t="s">
        <v>40</v>
      </c>
      <c r="E811" t="s">
        <v>41</v>
      </c>
      <c r="F811" t="s">
        <v>91</v>
      </c>
      <c r="G811">
        <v>5</v>
      </c>
      <c r="H811">
        <v>16762.16</v>
      </c>
      <c r="I811">
        <v>0.2</v>
      </c>
      <c r="J811">
        <v>67048.64</v>
      </c>
      <c r="K811">
        <v>4749.54</v>
      </c>
      <c r="L811">
        <v>3.2</v>
      </c>
      <c r="M811" s="53">
        <v>45126</v>
      </c>
      <c r="N811" t="s">
        <v>22</v>
      </c>
      <c r="O811" t="s">
        <v>57</v>
      </c>
      <c r="P811" s="54">
        <v>0.0708372310012552</v>
      </c>
    </row>
    <row r="812" spans="1:16">
      <c r="A812" t="s">
        <v>2223</v>
      </c>
      <c r="B812" t="s">
        <v>2224</v>
      </c>
      <c r="C812" t="s">
        <v>1215</v>
      </c>
      <c r="D812" t="s">
        <v>19</v>
      </c>
      <c r="E812" t="s">
        <v>86</v>
      </c>
      <c r="F812" t="s">
        <v>320</v>
      </c>
      <c r="G812">
        <v>5</v>
      </c>
      <c r="H812">
        <v>1354.59</v>
      </c>
      <c r="I812">
        <v>0.05</v>
      </c>
      <c r="J812">
        <v>6434.3</v>
      </c>
      <c r="K812">
        <v>508.76</v>
      </c>
      <c r="L812">
        <v>3.8</v>
      </c>
      <c r="M812" s="53">
        <v>45621</v>
      </c>
      <c r="N812" t="s">
        <v>30</v>
      </c>
      <c r="O812" t="s">
        <v>31</v>
      </c>
      <c r="P812" s="54">
        <v>0.0790699843028768</v>
      </c>
    </row>
    <row r="813" spans="1:16">
      <c r="A813" t="s">
        <v>2225</v>
      </c>
      <c r="B813" t="s">
        <v>1137</v>
      </c>
      <c r="C813" t="s">
        <v>2226</v>
      </c>
      <c r="D813" t="s">
        <v>40</v>
      </c>
      <c r="E813" t="s">
        <v>262</v>
      </c>
      <c r="F813" t="s">
        <v>385</v>
      </c>
      <c r="G813">
        <v>2</v>
      </c>
      <c r="H813">
        <v>10524.8</v>
      </c>
      <c r="I813">
        <v>0.05</v>
      </c>
      <c r="J813">
        <v>19997.12</v>
      </c>
      <c r="K813">
        <v>4124.99</v>
      </c>
      <c r="L813">
        <v>2.5</v>
      </c>
      <c r="M813" s="53">
        <v>45304</v>
      </c>
      <c r="N813" t="s">
        <v>56</v>
      </c>
      <c r="O813" t="s">
        <v>57</v>
      </c>
      <c r="P813" s="54">
        <v>0.206279204205406</v>
      </c>
    </row>
    <row r="814" spans="1:16">
      <c r="A814" t="s">
        <v>2227</v>
      </c>
      <c r="B814" t="s">
        <v>599</v>
      </c>
      <c r="C814" t="s">
        <v>2228</v>
      </c>
      <c r="D814" t="s">
        <v>19</v>
      </c>
      <c r="E814" t="s">
        <v>20</v>
      </c>
      <c r="F814" t="s">
        <v>134</v>
      </c>
      <c r="G814">
        <v>5</v>
      </c>
      <c r="H814">
        <v>10763.59</v>
      </c>
      <c r="I814">
        <v>0.15</v>
      </c>
      <c r="J814">
        <v>45745.26</v>
      </c>
      <c r="K814">
        <v>6092.94</v>
      </c>
      <c r="L814">
        <v>4.2</v>
      </c>
      <c r="M814" s="53">
        <v>45006</v>
      </c>
      <c r="N814" t="s">
        <v>56</v>
      </c>
      <c r="O814" t="s">
        <v>44</v>
      </c>
      <c r="P814" s="54">
        <v>0.13319281604258</v>
      </c>
    </row>
    <row r="815" spans="1:16">
      <c r="A815" t="s">
        <v>2229</v>
      </c>
      <c r="B815" t="s">
        <v>1574</v>
      </c>
      <c r="C815" t="s">
        <v>2230</v>
      </c>
      <c r="D815" t="s">
        <v>40</v>
      </c>
      <c r="E815" t="s">
        <v>262</v>
      </c>
      <c r="F815" t="s">
        <v>263</v>
      </c>
      <c r="G815">
        <v>4</v>
      </c>
      <c r="H815">
        <v>6965.39</v>
      </c>
      <c r="I815">
        <v>0</v>
      </c>
      <c r="J815">
        <v>27861.56</v>
      </c>
      <c r="K815">
        <v>2080.87</v>
      </c>
      <c r="L815">
        <v>3.5</v>
      </c>
      <c r="M815" s="53">
        <v>45347</v>
      </c>
      <c r="N815" t="s">
        <v>30</v>
      </c>
      <c r="O815" t="s">
        <v>57</v>
      </c>
      <c r="P815" s="54">
        <v>0.0746860549086268</v>
      </c>
    </row>
    <row r="816" spans="1:16">
      <c r="A816" t="s">
        <v>2231</v>
      </c>
      <c r="B816" t="s">
        <v>1035</v>
      </c>
      <c r="C816" t="s">
        <v>2232</v>
      </c>
      <c r="D816" t="s">
        <v>53</v>
      </c>
      <c r="E816" t="s">
        <v>100</v>
      </c>
      <c r="F816" t="s">
        <v>101</v>
      </c>
      <c r="G816">
        <v>3</v>
      </c>
      <c r="H816">
        <v>16458.81</v>
      </c>
      <c r="I816">
        <v>0.15</v>
      </c>
      <c r="J816">
        <v>41969.97</v>
      </c>
      <c r="K816">
        <v>9914.87</v>
      </c>
      <c r="L816">
        <v>2.5</v>
      </c>
      <c r="M816" s="53">
        <v>45315</v>
      </c>
      <c r="N816" t="s">
        <v>30</v>
      </c>
      <c r="O816" t="s">
        <v>73</v>
      </c>
      <c r="P816" s="54">
        <v>0.236237242962051</v>
      </c>
    </row>
    <row r="817" spans="1:16">
      <c r="A817" t="s">
        <v>2233</v>
      </c>
      <c r="B817" t="s">
        <v>2234</v>
      </c>
      <c r="C817" t="s">
        <v>2235</v>
      </c>
      <c r="D817" t="s">
        <v>19</v>
      </c>
      <c r="E817" t="s">
        <v>35</v>
      </c>
      <c r="F817" t="s">
        <v>36</v>
      </c>
      <c r="G817">
        <v>5</v>
      </c>
      <c r="H817">
        <v>16628.7</v>
      </c>
      <c r="I817">
        <v>0.2</v>
      </c>
      <c r="J817">
        <v>66514.8</v>
      </c>
      <c r="K817">
        <v>13755.15</v>
      </c>
      <c r="L817">
        <v>4.1</v>
      </c>
      <c r="M817" s="53">
        <v>45255</v>
      </c>
      <c r="N817" t="s">
        <v>22</v>
      </c>
      <c r="O817" t="s">
        <v>31</v>
      </c>
      <c r="P817" s="54">
        <v>0.206798336610799</v>
      </c>
    </row>
    <row r="818" spans="1:16">
      <c r="A818" t="s">
        <v>2236</v>
      </c>
      <c r="B818" t="s">
        <v>426</v>
      </c>
      <c r="C818" t="s">
        <v>2237</v>
      </c>
      <c r="D818" t="s">
        <v>27</v>
      </c>
      <c r="E818" t="s">
        <v>117</v>
      </c>
      <c r="F818" t="s">
        <v>225</v>
      </c>
      <c r="G818">
        <v>3</v>
      </c>
      <c r="H818">
        <v>5045.34</v>
      </c>
      <c r="I818">
        <v>0.1</v>
      </c>
      <c r="J818">
        <v>13622.42</v>
      </c>
      <c r="K818">
        <v>1614.85</v>
      </c>
      <c r="L818">
        <v>1.4</v>
      </c>
      <c r="M818" s="53">
        <v>45155</v>
      </c>
      <c r="N818" t="s">
        <v>56</v>
      </c>
      <c r="O818" t="s">
        <v>31</v>
      </c>
      <c r="P818" s="54">
        <v>0.118543548062679</v>
      </c>
    </row>
    <row r="819" spans="1:16">
      <c r="A819" t="s">
        <v>2238</v>
      </c>
      <c r="B819" t="s">
        <v>2239</v>
      </c>
      <c r="C819" t="s">
        <v>2240</v>
      </c>
      <c r="D819" t="s">
        <v>27</v>
      </c>
      <c r="E819" t="s">
        <v>117</v>
      </c>
      <c r="F819" t="s">
        <v>192</v>
      </c>
      <c r="G819">
        <v>5</v>
      </c>
      <c r="H819">
        <v>1032.31</v>
      </c>
      <c r="I819">
        <v>0</v>
      </c>
      <c r="J819">
        <v>5161.55</v>
      </c>
      <c r="K819">
        <v>630.44</v>
      </c>
      <c r="L819">
        <v>1.8</v>
      </c>
      <c r="M819" s="53">
        <v>45427</v>
      </c>
      <c r="N819" t="s">
        <v>43</v>
      </c>
      <c r="O819" t="s">
        <v>57</v>
      </c>
      <c r="P819" s="54">
        <v>0.122141604750511</v>
      </c>
    </row>
    <row r="820" spans="1:16">
      <c r="A820" t="s">
        <v>2241</v>
      </c>
      <c r="B820" t="s">
        <v>2242</v>
      </c>
      <c r="C820" t="s">
        <v>2243</v>
      </c>
      <c r="D820" t="s">
        <v>40</v>
      </c>
      <c r="E820" t="s">
        <v>41</v>
      </c>
      <c r="F820" t="s">
        <v>42</v>
      </c>
      <c r="G820">
        <v>2</v>
      </c>
      <c r="H820">
        <v>3555.64</v>
      </c>
      <c r="I820">
        <v>0.2</v>
      </c>
      <c r="J820">
        <v>5689.02</v>
      </c>
      <c r="K820">
        <v>363.92</v>
      </c>
      <c r="L820">
        <v>4.7</v>
      </c>
      <c r="M820" s="53">
        <v>45635</v>
      </c>
      <c r="N820" t="s">
        <v>43</v>
      </c>
      <c r="O820" t="s">
        <v>73</v>
      </c>
      <c r="P820" s="54">
        <v>0.0639688382181817</v>
      </c>
    </row>
    <row r="821" spans="1:16">
      <c r="A821" t="s">
        <v>2244</v>
      </c>
      <c r="B821" t="s">
        <v>38</v>
      </c>
      <c r="C821" t="s">
        <v>2245</v>
      </c>
      <c r="D821" t="s">
        <v>40</v>
      </c>
      <c r="E821" t="s">
        <v>262</v>
      </c>
      <c r="F821" t="s">
        <v>385</v>
      </c>
      <c r="G821">
        <v>2</v>
      </c>
      <c r="H821">
        <v>10109.26</v>
      </c>
      <c r="I821">
        <v>0.1</v>
      </c>
      <c r="J821">
        <v>18196.67</v>
      </c>
      <c r="K821">
        <v>2354.21</v>
      </c>
      <c r="L821">
        <v>4.1</v>
      </c>
      <c r="M821" s="53">
        <v>45246</v>
      </c>
      <c r="N821" t="s">
        <v>43</v>
      </c>
      <c r="O821" t="s">
        <v>44</v>
      </c>
      <c r="P821" s="54">
        <v>0.129375869321145</v>
      </c>
    </row>
    <row r="822" spans="1:16">
      <c r="A822" t="s">
        <v>2246</v>
      </c>
      <c r="B822" t="s">
        <v>169</v>
      </c>
      <c r="C822" t="s">
        <v>2247</v>
      </c>
      <c r="D822" t="s">
        <v>19</v>
      </c>
      <c r="E822" t="s">
        <v>35</v>
      </c>
      <c r="F822" t="s">
        <v>36</v>
      </c>
      <c r="G822">
        <v>2</v>
      </c>
      <c r="H822">
        <v>5757.79</v>
      </c>
      <c r="I822">
        <v>0</v>
      </c>
      <c r="J822">
        <v>11515.58</v>
      </c>
      <c r="K822">
        <v>578.77</v>
      </c>
      <c r="L822">
        <v>2.6</v>
      </c>
      <c r="M822" s="53">
        <v>45045</v>
      </c>
      <c r="N822" t="s">
        <v>30</v>
      </c>
      <c r="O822" t="s">
        <v>57</v>
      </c>
      <c r="P822" s="54">
        <v>0.0502597350719634</v>
      </c>
    </row>
    <row r="823" spans="1:16">
      <c r="A823" t="s">
        <v>2248</v>
      </c>
      <c r="B823" t="s">
        <v>1649</v>
      </c>
      <c r="C823" t="s">
        <v>2249</v>
      </c>
      <c r="D823" t="s">
        <v>40</v>
      </c>
      <c r="E823" t="s">
        <v>41</v>
      </c>
      <c r="F823" t="s">
        <v>91</v>
      </c>
      <c r="G823">
        <v>2</v>
      </c>
      <c r="H823">
        <v>15733.36</v>
      </c>
      <c r="I823">
        <v>0.2</v>
      </c>
      <c r="J823">
        <v>25173.38</v>
      </c>
      <c r="K823">
        <v>2711.99</v>
      </c>
      <c r="L823">
        <v>1.4</v>
      </c>
      <c r="M823" s="53">
        <v>45596</v>
      </c>
      <c r="N823" t="s">
        <v>43</v>
      </c>
      <c r="O823" t="s">
        <v>44</v>
      </c>
      <c r="P823" s="54">
        <v>0.107732453885811</v>
      </c>
    </row>
    <row r="824" spans="1:16">
      <c r="A824" t="s">
        <v>2250</v>
      </c>
      <c r="B824" t="s">
        <v>2251</v>
      </c>
      <c r="C824" t="s">
        <v>2252</v>
      </c>
      <c r="D824" t="s">
        <v>19</v>
      </c>
      <c r="E824" t="s">
        <v>129</v>
      </c>
      <c r="F824" t="s">
        <v>302</v>
      </c>
      <c r="G824">
        <v>5</v>
      </c>
      <c r="H824">
        <v>18720.24</v>
      </c>
      <c r="I824">
        <v>0.2</v>
      </c>
      <c r="J824">
        <v>74880.96</v>
      </c>
      <c r="K824">
        <v>14690.26</v>
      </c>
      <c r="L824">
        <v>2.3</v>
      </c>
      <c r="M824" s="53">
        <v>45254</v>
      </c>
      <c r="N824" t="s">
        <v>43</v>
      </c>
      <c r="O824" t="s">
        <v>57</v>
      </c>
      <c r="P824" s="54">
        <v>0.19618151263018</v>
      </c>
    </row>
    <row r="825" spans="1:16">
      <c r="A825" t="s">
        <v>2253</v>
      </c>
      <c r="B825" t="s">
        <v>2254</v>
      </c>
      <c r="C825" t="s">
        <v>1398</v>
      </c>
      <c r="D825" t="s">
        <v>53</v>
      </c>
      <c r="E825" t="s">
        <v>100</v>
      </c>
      <c r="F825" t="s">
        <v>229</v>
      </c>
      <c r="G825">
        <v>2</v>
      </c>
      <c r="H825">
        <v>5066.35</v>
      </c>
      <c r="I825">
        <v>0.1</v>
      </c>
      <c r="J825">
        <v>9119.43</v>
      </c>
      <c r="K825">
        <v>2203.17</v>
      </c>
      <c r="L825">
        <v>3.2</v>
      </c>
      <c r="M825" s="53">
        <v>45121</v>
      </c>
      <c r="N825" t="s">
        <v>22</v>
      </c>
      <c r="O825" t="s">
        <v>44</v>
      </c>
      <c r="P825" s="54">
        <v>0.241590757317069</v>
      </c>
    </row>
    <row r="826" spans="1:16">
      <c r="A826" t="s">
        <v>2255</v>
      </c>
      <c r="B826" t="s">
        <v>1625</v>
      </c>
      <c r="C826" t="s">
        <v>2256</v>
      </c>
      <c r="D826" t="s">
        <v>53</v>
      </c>
      <c r="E826" t="s">
        <v>95</v>
      </c>
      <c r="F826" t="s">
        <v>306</v>
      </c>
      <c r="G826">
        <v>4</v>
      </c>
      <c r="H826">
        <v>8579.83</v>
      </c>
      <c r="I826">
        <v>0.05</v>
      </c>
      <c r="J826">
        <v>32603.35</v>
      </c>
      <c r="K826">
        <v>5013.74</v>
      </c>
      <c r="L826">
        <v>4.3</v>
      </c>
      <c r="M826" s="53">
        <v>45188</v>
      </c>
      <c r="N826" t="s">
        <v>30</v>
      </c>
      <c r="O826" t="s">
        <v>73</v>
      </c>
      <c r="P826" s="54">
        <v>0.153779902985429</v>
      </c>
    </row>
    <row r="827" spans="1:16">
      <c r="A827" t="s">
        <v>2257</v>
      </c>
      <c r="B827" t="s">
        <v>84</v>
      </c>
      <c r="C827" t="s">
        <v>2258</v>
      </c>
      <c r="D827" t="s">
        <v>53</v>
      </c>
      <c r="E827" t="s">
        <v>95</v>
      </c>
      <c r="F827" t="s">
        <v>271</v>
      </c>
      <c r="G827">
        <v>5</v>
      </c>
      <c r="H827">
        <v>9484.4</v>
      </c>
      <c r="I827">
        <v>0.1</v>
      </c>
      <c r="J827">
        <v>42679.8</v>
      </c>
      <c r="K827">
        <v>3688.13</v>
      </c>
      <c r="L827">
        <v>3.1</v>
      </c>
      <c r="M827" s="53">
        <v>44941</v>
      </c>
      <c r="N827" t="s">
        <v>43</v>
      </c>
      <c r="O827" t="s">
        <v>44</v>
      </c>
      <c r="P827" s="54">
        <v>0.08641394758176</v>
      </c>
    </row>
    <row r="828" spans="1:16">
      <c r="A828" t="s">
        <v>2259</v>
      </c>
      <c r="B828" t="s">
        <v>654</v>
      </c>
      <c r="C828" t="s">
        <v>2260</v>
      </c>
      <c r="D828" t="s">
        <v>40</v>
      </c>
      <c r="E828" t="s">
        <v>262</v>
      </c>
      <c r="F828" t="s">
        <v>263</v>
      </c>
      <c r="G828">
        <v>5</v>
      </c>
      <c r="H828">
        <v>5202.46</v>
      </c>
      <c r="I828">
        <v>0.2</v>
      </c>
      <c r="J828">
        <v>20809.84</v>
      </c>
      <c r="K828">
        <v>2735.44</v>
      </c>
      <c r="L828">
        <v>3.2</v>
      </c>
      <c r="M828" s="53">
        <v>45126</v>
      </c>
      <c r="N828" t="s">
        <v>56</v>
      </c>
      <c r="O828" t="s">
        <v>31</v>
      </c>
      <c r="P828" s="54">
        <v>0.131449352806173</v>
      </c>
    </row>
    <row r="829" spans="1:16">
      <c r="A829" t="s">
        <v>2261</v>
      </c>
      <c r="B829" t="s">
        <v>874</v>
      </c>
      <c r="C829" t="s">
        <v>2262</v>
      </c>
      <c r="D829" t="s">
        <v>53</v>
      </c>
      <c r="E829" t="s">
        <v>71</v>
      </c>
      <c r="F829" t="s">
        <v>225</v>
      </c>
      <c r="G829">
        <v>5</v>
      </c>
      <c r="H829">
        <v>13644.35</v>
      </c>
      <c r="I829">
        <v>0.05</v>
      </c>
      <c r="J829">
        <v>64810.66</v>
      </c>
      <c r="K829">
        <v>14990.7</v>
      </c>
      <c r="L829">
        <v>3.6</v>
      </c>
      <c r="M829" s="53">
        <v>45150</v>
      </c>
      <c r="N829" t="s">
        <v>22</v>
      </c>
      <c r="O829" t="s">
        <v>44</v>
      </c>
      <c r="P829" s="54">
        <v>0.231299912699547</v>
      </c>
    </row>
    <row r="830" spans="1:16">
      <c r="A830" t="s">
        <v>2263</v>
      </c>
      <c r="B830" t="s">
        <v>2264</v>
      </c>
      <c r="C830" t="s">
        <v>2265</v>
      </c>
      <c r="D830" t="s">
        <v>53</v>
      </c>
      <c r="E830" t="s">
        <v>100</v>
      </c>
      <c r="F830" t="s">
        <v>229</v>
      </c>
      <c r="G830">
        <v>1</v>
      </c>
      <c r="H830">
        <v>13601.73</v>
      </c>
      <c r="I830">
        <v>0.2</v>
      </c>
      <c r="J830">
        <v>10881.38</v>
      </c>
      <c r="K830">
        <v>1774.36</v>
      </c>
      <c r="L830">
        <v>2.1</v>
      </c>
      <c r="M830" s="53">
        <v>45025</v>
      </c>
      <c r="N830" t="s">
        <v>22</v>
      </c>
      <c r="O830" t="s">
        <v>44</v>
      </c>
      <c r="P830" s="54">
        <v>0.163063876089246</v>
      </c>
    </row>
    <row r="831" spans="1:16">
      <c r="A831" t="s">
        <v>2266</v>
      </c>
      <c r="B831" t="s">
        <v>2144</v>
      </c>
      <c r="C831" t="s">
        <v>2267</v>
      </c>
      <c r="D831" t="s">
        <v>40</v>
      </c>
      <c r="E831" t="s">
        <v>174</v>
      </c>
      <c r="F831" t="s">
        <v>202</v>
      </c>
      <c r="G831">
        <v>5</v>
      </c>
      <c r="H831">
        <v>13555.16</v>
      </c>
      <c r="I831">
        <v>0.15</v>
      </c>
      <c r="J831">
        <v>57609.43</v>
      </c>
      <c r="K831">
        <v>5267.49</v>
      </c>
      <c r="L831">
        <v>4.9</v>
      </c>
      <c r="M831" s="53">
        <v>44946</v>
      </c>
      <c r="N831" t="s">
        <v>30</v>
      </c>
      <c r="O831" t="s">
        <v>23</v>
      </c>
      <c r="P831" s="54">
        <v>0.0914345099404733</v>
      </c>
    </row>
    <row r="832" spans="1:16">
      <c r="A832" t="s">
        <v>2268</v>
      </c>
      <c r="B832" t="s">
        <v>2269</v>
      </c>
      <c r="C832" t="s">
        <v>2270</v>
      </c>
      <c r="D832" t="s">
        <v>53</v>
      </c>
      <c r="E832" t="s">
        <v>54</v>
      </c>
      <c r="F832" t="s">
        <v>249</v>
      </c>
      <c r="G832">
        <v>5</v>
      </c>
      <c r="H832">
        <v>10799.56</v>
      </c>
      <c r="I832">
        <v>0</v>
      </c>
      <c r="J832">
        <v>53997.8</v>
      </c>
      <c r="K832">
        <v>3084.32</v>
      </c>
      <c r="L832">
        <v>4.2</v>
      </c>
      <c r="M832" s="53">
        <v>45633</v>
      </c>
      <c r="N832" t="s">
        <v>22</v>
      </c>
      <c r="O832" t="s">
        <v>73</v>
      </c>
      <c r="P832" s="54">
        <v>0.057119364122242</v>
      </c>
    </row>
    <row r="833" spans="1:16">
      <c r="A833" t="s">
        <v>2271</v>
      </c>
      <c r="B833" t="s">
        <v>2272</v>
      </c>
      <c r="C833" t="s">
        <v>2273</v>
      </c>
      <c r="D833" t="s">
        <v>40</v>
      </c>
      <c r="E833" t="s">
        <v>174</v>
      </c>
      <c r="F833" t="s">
        <v>202</v>
      </c>
      <c r="G833">
        <v>2</v>
      </c>
      <c r="H833">
        <v>17777.3</v>
      </c>
      <c r="I833">
        <v>0.2</v>
      </c>
      <c r="J833">
        <v>28443.68</v>
      </c>
      <c r="K833">
        <v>2974.17</v>
      </c>
      <c r="L833">
        <v>1.2</v>
      </c>
      <c r="M833" s="53">
        <v>45043</v>
      </c>
      <c r="N833" t="s">
        <v>43</v>
      </c>
      <c r="O833" t="s">
        <v>73</v>
      </c>
      <c r="P833" s="54">
        <v>0.104563474205869</v>
      </c>
    </row>
    <row r="834" spans="1:16">
      <c r="A834" t="s">
        <v>2274</v>
      </c>
      <c r="B834" t="s">
        <v>482</v>
      </c>
      <c r="C834" t="s">
        <v>2275</v>
      </c>
      <c r="D834" t="s">
        <v>53</v>
      </c>
      <c r="E834" t="s">
        <v>95</v>
      </c>
      <c r="F834" t="s">
        <v>96</v>
      </c>
      <c r="G834">
        <v>3</v>
      </c>
      <c r="H834">
        <v>13949.35</v>
      </c>
      <c r="I834">
        <v>0.1</v>
      </c>
      <c r="J834">
        <v>37663.25</v>
      </c>
      <c r="K834">
        <v>4376.81</v>
      </c>
      <c r="L834">
        <v>2.4</v>
      </c>
      <c r="M834" s="53">
        <v>45420</v>
      </c>
      <c r="N834" t="s">
        <v>30</v>
      </c>
      <c r="O834" t="s">
        <v>44</v>
      </c>
      <c r="P834" s="54">
        <v>0.116209036660405</v>
      </c>
    </row>
    <row r="835" spans="1:16">
      <c r="A835" t="s">
        <v>2276</v>
      </c>
      <c r="B835" t="s">
        <v>1468</v>
      </c>
      <c r="C835" t="s">
        <v>2277</v>
      </c>
      <c r="D835" t="s">
        <v>19</v>
      </c>
      <c r="E835" t="s">
        <v>35</v>
      </c>
      <c r="F835" t="s">
        <v>245</v>
      </c>
      <c r="G835">
        <v>1</v>
      </c>
      <c r="H835">
        <v>17471.81</v>
      </c>
      <c r="I835">
        <v>0.15</v>
      </c>
      <c r="J835">
        <v>14851.04</v>
      </c>
      <c r="K835">
        <v>1560.1</v>
      </c>
      <c r="L835">
        <v>1.9</v>
      </c>
      <c r="M835" s="53">
        <v>45059</v>
      </c>
      <c r="N835" t="s">
        <v>30</v>
      </c>
      <c r="O835" t="s">
        <v>73</v>
      </c>
      <c r="P835" s="54">
        <v>0.105049882028464</v>
      </c>
    </row>
    <row r="836" spans="1:16">
      <c r="A836" t="s">
        <v>2278</v>
      </c>
      <c r="B836" t="s">
        <v>276</v>
      </c>
      <c r="C836" t="s">
        <v>1357</v>
      </c>
      <c r="D836" t="s">
        <v>40</v>
      </c>
      <c r="E836" t="s">
        <v>174</v>
      </c>
      <c r="F836" t="s">
        <v>199</v>
      </c>
      <c r="G836">
        <v>5</v>
      </c>
      <c r="H836">
        <v>16213.53</v>
      </c>
      <c r="I836">
        <v>0</v>
      </c>
      <c r="J836">
        <v>81067.65</v>
      </c>
      <c r="K836">
        <v>7442.52</v>
      </c>
      <c r="L836">
        <v>2.9</v>
      </c>
      <c r="M836" s="53">
        <v>45140</v>
      </c>
      <c r="N836" t="s">
        <v>30</v>
      </c>
      <c r="O836" t="s">
        <v>23</v>
      </c>
      <c r="P836" s="54">
        <v>0.0918062877115594</v>
      </c>
    </row>
    <row r="837" spans="1:16">
      <c r="A837" t="s">
        <v>2279</v>
      </c>
      <c r="B837" t="s">
        <v>2280</v>
      </c>
      <c r="C837" t="s">
        <v>2281</v>
      </c>
      <c r="D837" t="s">
        <v>53</v>
      </c>
      <c r="E837" t="s">
        <v>95</v>
      </c>
      <c r="F837" t="s">
        <v>271</v>
      </c>
      <c r="G837">
        <v>1</v>
      </c>
      <c r="H837">
        <v>10677.51</v>
      </c>
      <c r="I837">
        <v>0.05</v>
      </c>
      <c r="J837">
        <v>10143.63</v>
      </c>
      <c r="K837">
        <v>1351.01</v>
      </c>
      <c r="L837">
        <v>2.8</v>
      </c>
      <c r="M837" s="53">
        <v>45182</v>
      </c>
      <c r="N837" t="s">
        <v>43</v>
      </c>
      <c r="O837" t="s">
        <v>73</v>
      </c>
      <c r="P837" s="54">
        <v>0.133188020462103</v>
      </c>
    </row>
    <row r="838" spans="1:16">
      <c r="A838" t="s">
        <v>2282</v>
      </c>
      <c r="B838" t="s">
        <v>866</v>
      </c>
      <c r="C838" t="s">
        <v>2283</v>
      </c>
      <c r="D838" t="s">
        <v>19</v>
      </c>
      <c r="E838" t="s">
        <v>20</v>
      </c>
      <c r="F838" t="s">
        <v>21</v>
      </c>
      <c r="G838">
        <v>5</v>
      </c>
      <c r="H838">
        <v>9210.97</v>
      </c>
      <c r="I838">
        <v>0.15</v>
      </c>
      <c r="J838">
        <v>39146.62</v>
      </c>
      <c r="K838">
        <v>7880.4</v>
      </c>
      <c r="L838">
        <v>1.2</v>
      </c>
      <c r="M838" s="53">
        <v>45139</v>
      </c>
      <c r="N838" t="s">
        <v>22</v>
      </c>
      <c r="O838" t="s">
        <v>73</v>
      </c>
      <c r="P838" s="54">
        <v>0.201304735887798</v>
      </c>
    </row>
    <row r="839" spans="1:16">
      <c r="A839" t="s">
        <v>2284</v>
      </c>
      <c r="B839" t="s">
        <v>2285</v>
      </c>
      <c r="C839" t="s">
        <v>2072</v>
      </c>
      <c r="D839" t="s">
        <v>40</v>
      </c>
      <c r="E839" t="s">
        <v>174</v>
      </c>
      <c r="F839" t="s">
        <v>199</v>
      </c>
      <c r="G839">
        <v>1</v>
      </c>
      <c r="H839">
        <v>13989.69</v>
      </c>
      <c r="I839">
        <v>0.05</v>
      </c>
      <c r="J839">
        <v>13290.21</v>
      </c>
      <c r="K839">
        <v>2900.89</v>
      </c>
      <c r="L839">
        <v>4.6</v>
      </c>
      <c r="M839" s="53">
        <v>45481</v>
      </c>
      <c r="N839" t="s">
        <v>22</v>
      </c>
      <c r="O839" t="s">
        <v>57</v>
      </c>
      <c r="P839" s="54">
        <v>0.218272698475043</v>
      </c>
    </row>
    <row r="840" spans="1:16">
      <c r="A840" t="s">
        <v>2286</v>
      </c>
      <c r="B840" t="s">
        <v>1090</v>
      </c>
      <c r="C840" t="s">
        <v>2287</v>
      </c>
      <c r="D840" t="s">
        <v>27</v>
      </c>
      <c r="E840" t="s">
        <v>48</v>
      </c>
      <c r="F840" t="s">
        <v>583</v>
      </c>
      <c r="G840">
        <v>2</v>
      </c>
      <c r="H840">
        <v>7739.36</v>
      </c>
      <c r="I840">
        <v>0</v>
      </c>
      <c r="J840">
        <v>15478.72</v>
      </c>
      <c r="K840">
        <v>948.73</v>
      </c>
      <c r="L840">
        <v>5</v>
      </c>
      <c r="M840" s="53">
        <v>45028</v>
      </c>
      <c r="N840" t="s">
        <v>56</v>
      </c>
      <c r="O840" t="s">
        <v>31</v>
      </c>
      <c r="P840" s="54">
        <v>0.0612925358169151</v>
      </c>
    </row>
    <row r="841" spans="1:16">
      <c r="A841" t="s">
        <v>2288</v>
      </c>
      <c r="B841" t="s">
        <v>2289</v>
      </c>
      <c r="C841" t="s">
        <v>2290</v>
      </c>
      <c r="D841" t="s">
        <v>19</v>
      </c>
      <c r="E841" t="s">
        <v>86</v>
      </c>
      <c r="F841" t="s">
        <v>113</v>
      </c>
      <c r="G841">
        <v>1</v>
      </c>
      <c r="H841">
        <v>12790.13</v>
      </c>
      <c r="I841">
        <v>0.15</v>
      </c>
      <c r="J841">
        <v>10871.61</v>
      </c>
      <c r="K841">
        <v>1777.03</v>
      </c>
      <c r="L841">
        <v>1.3</v>
      </c>
      <c r="M841" s="53">
        <v>45352</v>
      </c>
      <c r="N841" t="s">
        <v>43</v>
      </c>
      <c r="O841" t="s">
        <v>31</v>
      </c>
      <c r="P841" s="54">
        <v>0.163456010655276</v>
      </c>
    </row>
    <row r="842" spans="1:16">
      <c r="A842" t="s">
        <v>2291</v>
      </c>
      <c r="B842" t="s">
        <v>2292</v>
      </c>
      <c r="C842" t="s">
        <v>2293</v>
      </c>
      <c r="D842" t="s">
        <v>19</v>
      </c>
      <c r="E842" t="s">
        <v>35</v>
      </c>
      <c r="F842" t="s">
        <v>215</v>
      </c>
      <c r="G842">
        <v>1</v>
      </c>
      <c r="H842">
        <v>5739.55</v>
      </c>
      <c r="I842">
        <v>0.05</v>
      </c>
      <c r="J842">
        <v>5452.57</v>
      </c>
      <c r="K842">
        <v>1167.91</v>
      </c>
      <c r="L842">
        <v>2.9</v>
      </c>
      <c r="M842" s="53">
        <v>44979</v>
      </c>
      <c r="N842" t="s">
        <v>56</v>
      </c>
      <c r="O842" t="s">
        <v>73</v>
      </c>
      <c r="P842" s="54">
        <v>0.214194407407883</v>
      </c>
    </row>
    <row r="843" spans="1:16">
      <c r="A843" t="s">
        <v>2294</v>
      </c>
      <c r="B843" t="s">
        <v>2295</v>
      </c>
      <c r="C843" t="s">
        <v>2296</v>
      </c>
      <c r="D843" t="s">
        <v>27</v>
      </c>
      <c r="E843" t="s">
        <v>48</v>
      </c>
      <c r="F843" t="s">
        <v>64</v>
      </c>
      <c r="G843">
        <v>2</v>
      </c>
      <c r="H843">
        <v>19467.8</v>
      </c>
      <c r="I843">
        <v>0.15</v>
      </c>
      <c r="J843">
        <v>33095.26</v>
      </c>
      <c r="K843">
        <v>6212.11</v>
      </c>
      <c r="L843">
        <v>5</v>
      </c>
      <c r="M843" s="53">
        <v>45601</v>
      </c>
      <c r="N843" t="s">
        <v>43</v>
      </c>
      <c r="O843" t="s">
        <v>57</v>
      </c>
      <c r="P843" s="54">
        <v>0.18770391892978</v>
      </c>
    </row>
    <row r="844" spans="1:16">
      <c r="A844" t="s">
        <v>2297</v>
      </c>
      <c r="B844" t="s">
        <v>2298</v>
      </c>
      <c r="C844" t="s">
        <v>2299</v>
      </c>
      <c r="D844" t="s">
        <v>27</v>
      </c>
      <c r="E844" t="s">
        <v>48</v>
      </c>
      <c r="F844" t="s">
        <v>583</v>
      </c>
      <c r="G844">
        <v>5</v>
      </c>
      <c r="H844">
        <v>294.27</v>
      </c>
      <c r="I844">
        <v>0.05</v>
      </c>
      <c r="J844">
        <v>1397.78</v>
      </c>
      <c r="K844">
        <v>265.45</v>
      </c>
      <c r="L844">
        <v>4.7</v>
      </c>
      <c r="M844" s="53">
        <v>45184</v>
      </c>
      <c r="N844" t="s">
        <v>22</v>
      </c>
      <c r="O844" t="s">
        <v>31</v>
      </c>
      <c r="P844" s="54">
        <v>0.189908283134685</v>
      </c>
    </row>
    <row r="845" spans="1:16">
      <c r="A845" t="s">
        <v>2300</v>
      </c>
      <c r="B845" t="s">
        <v>2301</v>
      </c>
      <c r="C845" t="s">
        <v>2302</v>
      </c>
      <c r="D845" t="s">
        <v>40</v>
      </c>
      <c r="E845" t="s">
        <v>41</v>
      </c>
      <c r="F845" t="s">
        <v>42</v>
      </c>
      <c r="G845">
        <v>2</v>
      </c>
      <c r="H845">
        <v>9704.47</v>
      </c>
      <c r="I845">
        <v>0.05</v>
      </c>
      <c r="J845">
        <v>18438.49</v>
      </c>
      <c r="K845">
        <v>4461.95</v>
      </c>
      <c r="L845">
        <v>4.5</v>
      </c>
      <c r="M845" s="53">
        <v>45254</v>
      </c>
      <c r="N845" t="s">
        <v>22</v>
      </c>
      <c r="O845" t="s">
        <v>73</v>
      </c>
      <c r="P845" s="54">
        <v>0.241991074106394</v>
      </c>
    </row>
    <row r="846" spans="1:16">
      <c r="A846" t="s">
        <v>2303</v>
      </c>
      <c r="B846" t="s">
        <v>741</v>
      </c>
      <c r="C846" t="s">
        <v>2304</v>
      </c>
      <c r="D846" t="s">
        <v>27</v>
      </c>
      <c r="E846" t="s">
        <v>233</v>
      </c>
      <c r="F846" t="s">
        <v>606</v>
      </c>
      <c r="G846">
        <v>3</v>
      </c>
      <c r="H846">
        <v>286.41</v>
      </c>
      <c r="I846">
        <v>0.05</v>
      </c>
      <c r="J846">
        <v>816.27</v>
      </c>
      <c r="K846">
        <v>114.37</v>
      </c>
      <c r="L846">
        <v>4.2</v>
      </c>
      <c r="M846" s="53">
        <v>44952</v>
      </c>
      <c r="N846" t="s">
        <v>43</v>
      </c>
      <c r="O846" t="s">
        <v>44</v>
      </c>
      <c r="P846" s="54">
        <v>0.140112952821983</v>
      </c>
    </row>
    <row r="847" spans="1:16">
      <c r="A847" t="s">
        <v>2305</v>
      </c>
      <c r="B847" t="s">
        <v>701</v>
      </c>
      <c r="C847" t="s">
        <v>2306</v>
      </c>
      <c r="D847" t="s">
        <v>40</v>
      </c>
      <c r="E847" t="s">
        <v>174</v>
      </c>
      <c r="F847" t="s">
        <v>199</v>
      </c>
      <c r="G847">
        <v>2</v>
      </c>
      <c r="H847">
        <v>3234.72</v>
      </c>
      <c r="I847">
        <v>0.15</v>
      </c>
      <c r="J847">
        <v>5499.02</v>
      </c>
      <c r="K847">
        <v>1234.08</v>
      </c>
      <c r="L847">
        <v>4.1</v>
      </c>
      <c r="M847" s="53">
        <v>44983</v>
      </c>
      <c r="N847" t="s">
        <v>30</v>
      </c>
      <c r="O847" t="s">
        <v>44</v>
      </c>
      <c r="P847" s="54">
        <v>0.224418169055577</v>
      </c>
    </row>
    <row r="848" spans="1:16">
      <c r="A848" t="s">
        <v>2307</v>
      </c>
      <c r="B848" t="s">
        <v>269</v>
      </c>
      <c r="C848" t="s">
        <v>2308</v>
      </c>
      <c r="D848" t="s">
        <v>40</v>
      </c>
      <c r="E848" t="s">
        <v>262</v>
      </c>
      <c r="F848" t="s">
        <v>385</v>
      </c>
      <c r="G848">
        <v>3</v>
      </c>
      <c r="H848">
        <v>18795.11</v>
      </c>
      <c r="I848">
        <v>0.05</v>
      </c>
      <c r="J848">
        <v>53566.06</v>
      </c>
      <c r="K848">
        <v>5332.68</v>
      </c>
      <c r="L848">
        <v>5</v>
      </c>
      <c r="M848" s="53">
        <v>45371</v>
      </c>
      <c r="N848" t="s">
        <v>30</v>
      </c>
      <c r="O848" t="s">
        <v>57</v>
      </c>
      <c r="P848" s="54">
        <v>0.0995533365717023</v>
      </c>
    </row>
    <row r="849" spans="1:16">
      <c r="A849" t="s">
        <v>2309</v>
      </c>
      <c r="B849" t="s">
        <v>2310</v>
      </c>
      <c r="C849" t="s">
        <v>2311</v>
      </c>
      <c r="D849" t="s">
        <v>53</v>
      </c>
      <c r="E849" t="s">
        <v>71</v>
      </c>
      <c r="F849" t="s">
        <v>72</v>
      </c>
      <c r="G849">
        <v>1</v>
      </c>
      <c r="H849">
        <v>15032.25</v>
      </c>
      <c r="I849">
        <v>0.1</v>
      </c>
      <c r="J849">
        <v>13529.02</v>
      </c>
      <c r="K849">
        <v>2100.33</v>
      </c>
      <c r="L849">
        <v>4</v>
      </c>
      <c r="M849" s="53">
        <v>45022</v>
      </c>
      <c r="N849" t="s">
        <v>43</v>
      </c>
      <c r="O849" t="s">
        <v>57</v>
      </c>
      <c r="P849" s="54">
        <v>0.15524627800092</v>
      </c>
    </row>
    <row r="850" spans="1:16">
      <c r="A850" t="s">
        <v>2312</v>
      </c>
      <c r="B850" t="s">
        <v>142</v>
      </c>
      <c r="C850" t="s">
        <v>2313</v>
      </c>
      <c r="D850" t="s">
        <v>53</v>
      </c>
      <c r="E850" t="s">
        <v>71</v>
      </c>
      <c r="F850" t="s">
        <v>406</v>
      </c>
      <c r="G850">
        <v>3</v>
      </c>
      <c r="H850">
        <v>3984.84</v>
      </c>
      <c r="I850">
        <v>0.15</v>
      </c>
      <c r="J850">
        <v>10161.34</v>
      </c>
      <c r="K850">
        <v>1482.77</v>
      </c>
      <c r="L850">
        <v>4.4</v>
      </c>
      <c r="M850" s="53">
        <v>45015</v>
      </c>
      <c r="N850" t="s">
        <v>56</v>
      </c>
      <c r="O850" t="s">
        <v>44</v>
      </c>
      <c r="P850" s="54">
        <v>0.145922683425611</v>
      </c>
    </row>
    <row r="851" spans="1:16">
      <c r="A851" t="s">
        <v>2314</v>
      </c>
      <c r="B851" t="s">
        <v>356</v>
      </c>
      <c r="C851" t="s">
        <v>2315</v>
      </c>
      <c r="D851" t="s">
        <v>19</v>
      </c>
      <c r="E851" t="s">
        <v>35</v>
      </c>
      <c r="F851" t="s">
        <v>36</v>
      </c>
      <c r="G851">
        <v>1</v>
      </c>
      <c r="H851">
        <v>16059.99</v>
      </c>
      <c r="I851">
        <v>0</v>
      </c>
      <c r="J851">
        <v>16059.99</v>
      </c>
      <c r="K851">
        <v>1426.3</v>
      </c>
      <c r="L851">
        <v>3</v>
      </c>
      <c r="M851" s="53">
        <v>45112</v>
      </c>
      <c r="N851" t="s">
        <v>56</v>
      </c>
      <c r="O851" t="s">
        <v>44</v>
      </c>
      <c r="P851" s="54">
        <v>0.0888107651374627</v>
      </c>
    </row>
    <row r="852" spans="1:16">
      <c r="A852" t="s">
        <v>2316</v>
      </c>
      <c r="B852" t="s">
        <v>2317</v>
      </c>
      <c r="C852" t="s">
        <v>2318</v>
      </c>
      <c r="D852" t="s">
        <v>27</v>
      </c>
      <c r="E852" t="s">
        <v>117</v>
      </c>
      <c r="F852" t="s">
        <v>192</v>
      </c>
      <c r="G852">
        <v>4</v>
      </c>
      <c r="H852">
        <v>4352.78</v>
      </c>
      <c r="I852">
        <v>0</v>
      </c>
      <c r="J852">
        <v>17411.12</v>
      </c>
      <c r="K852">
        <v>3976.5</v>
      </c>
      <c r="L852">
        <v>1.9</v>
      </c>
      <c r="M852" s="53">
        <v>45326</v>
      </c>
      <c r="N852" t="s">
        <v>30</v>
      </c>
      <c r="O852" t="s">
        <v>73</v>
      </c>
      <c r="P852" s="54">
        <v>0.228388524115623</v>
      </c>
    </row>
    <row r="853" spans="1:16">
      <c r="A853" t="s">
        <v>2319</v>
      </c>
      <c r="B853" t="s">
        <v>392</v>
      </c>
      <c r="C853" t="s">
        <v>2320</v>
      </c>
      <c r="D853" t="s">
        <v>53</v>
      </c>
      <c r="E853" t="s">
        <v>95</v>
      </c>
      <c r="F853" t="s">
        <v>306</v>
      </c>
      <c r="G853">
        <v>2</v>
      </c>
      <c r="H853">
        <v>16721.52</v>
      </c>
      <c r="I853">
        <v>0.2</v>
      </c>
      <c r="J853">
        <v>26754.43</v>
      </c>
      <c r="K853">
        <v>1890.44</v>
      </c>
      <c r="L853">
        <v>3.6</v>
      </c>
      <c r="M853" s="53">
        <v>45252</v>
      </c>
      <c r="N853" t="s">
        <v>43</v>
      </c>
      <c r="O853" t="s">
        <v>44</v>
      </c>
      <c r="P853" s="54">
        <v>0.0706589525547732</v>
      </c>
    </row>
    <row r="854" spans="1:16">
      <c r="A854" t="s">
        <v>2321</v>
      </c>
      <c r="B854" t="s">
        <v>2108</v>
      </c>
      <c r="C854" t="s">
        <v>2322</v>
      </c>
      <c r="D854" t="s">
        <v>53</v>
      </c>
      <c r="E854" t="s">
        <v>100</v>
      </c>
      <c r="F854" t="s">
        <v>271</v>
      </c>
      <c r="G854">
        <v>3</v>
      </c>
      <c r="H854">
        <v>16854.57</v>
      </c>
      <c r="I854">
        <v>0</v>
      </c>
      <c r="J854">
        <v>50563.71</v>
      </c>
      <c r="K854">
        <v>10655.16</v>
      </c>
      <c r="L854">
        <v>3.8</v>
      </c>
      <c r="M854" s="53">
        <v>45534</v>
      </c>
      <c r="N854" t="s">
        <v>56</v>
      </c>
      <c r="O854" t="s">
        <v>73</v>
      </c>
      <c r="P854" s="54">
        <v>0.210727416955757</v>
      </c>
    </row>
    <row r="855" spans="1:16">
      <c r="A855" t="s">
        <v>2323</v>
      </c>
      <c r="B855" t="s">
        <v>2324</v>
      </c>
      <c r="C855" t="s">
        <v>1352</v>
      </c>
      <c r="D855" t="s">
        <v>53</v>
      </c>
      <c r="E855" t="s">
        <v>54</v>
      </c>
      <c r="F855" t="s">
        <v>109</v>
      </c>
      <c r="G855">
        <v>2</v>
      </c>
      <c r="H855">
        <v>12238.81</v>
      </c>
      <c r="I855">
        <v>0.1</v>
      </c>
      <c r="J855">
        <v>22029.86</v>
      </c>
      <c r="K855">
        <v>3019.42</v>
      </c>
      <c r="L855">
        <v>2.4</v>
      </c>
      <c r="M855" s="53">
        <v>45306</v>
      </c>
      <c r="N855" t="s">
        <v>43</v>
      </c>
      <c r="O855" t="s">
        <v>57</v>
      </c>
      <c r="P855" s="54">
        <v>0.13706033538116</v>
      </c>
    </row>
    <row r="856" spans="1:16">
      <c r="A856" t="s">
        <v>2325</v>
      </c>
      <c r="B856" t="s">
        <v>886</v>
      </c>
      <c r="C856" t="s">
        <v>2326</v>
      </c>
      <c r="D856" t="s">
        <v>27</v>
      </c>
      <c r="E856" t="s">
        <v>117</v>
      </c>
      <c r="F856" t="s">
        <v>118</v>
      </c>
      <c r="G856">
        <v>2</v>
      </c>
      <c r="H856">
        <v>17488.72</v>
      </c>
      <c r="I856">
        <v>0.2</v>
      </c>
      <c r="J856">
        <v>27981.95</v>
      </c>
      <c r="K856">
        <v>3672.75</v>
      </c>
      <c r="L856">
        <v>1.4</v>
      </c>
      <c r="M856" s="53">
        <v>45398</v>
      </c>
      <c r="N856" t="s">
        <v>56</v>
      </c>
      <c r="O856" t="s">
        <v>73</v>
      </c>
      <c r="P856" s="54">
        <v>0.131254254975082</v>
      </c>
    </row>
    <row r="857" spans="1:16">
      <c r="A857" t="s">
        <v>2327</v>
      </c>
      <c r="B857" t="s">
        <v>673</v>
      </c>
      <c r="C857" t="s">
        <v>2328</v>
      </c>
      <c r="D857" t="s">
        <v>53</v>
      </c>
      <c r="E857" t="s">
        <v>95</v>
      </c>
      <c r="F857" t="s">
        <v>271</v>
      </c>
      <c r="G857">
        <v>5</v>
      </c>
      <c r="H857">
        <v>6897.86</v>
      </c>
      <c r="I857">
        <v>0</v>
      </c>
      <c r="J857">
        <v>34489.3</v>
      </c>
      <c r="K857">
        <v>7473.16</v>
      </c>
      <c r="L857">
        <v>3.4</v>
      </c>
      <c r="M857" s="53">
        <v>45056</v>
      </c>
      <c r="N857" t="s">
        <v>30</v>
      </c>
      <c r="O857" t="s">
        <v>57</v>
      </c>
      <c r="P857" s="54">
        <v>0.216680535702377</v>
      </c>
    </row>
    <row r="858" spans="1:16">
      <c r="A858" t="s">
        <v>2329</v>
      </c>
      <c r="B858" t="s">
        <v>213</v>
      </c>
      <c r="C858" t="s">
        <v>2330</v>
      </c>
      <c r="D858" t="s">
        <v>53</v>
      </c>
      <c r="E858" t="s">
        <v>54</v>
      </c>
      <c r="F858" t="s">
        <v>55</v>
      </c>
      <c r="G858">
        <v>4</v>
      </c>
      <c r="H858">
        <v>13053.93</v>
      </c>
      <c r="I858">
        <v>0.05</v>
      </c>
      <c r="J858">
        <v>49604.93</v>
      </c>
      <c r="K858">
        <v>6196.53</v>
      </c>
      <c r="L858">
        <v>4</v>
      </c>
      <c r="M858" s="53">
        <v>45180</v>
      </c>
      <c r="N858" t="s">
        <v>56</v>
      </c>
      <c r="O858" t="s">
        <v>44</v>
      </c>
      <c r="P858" s="54">
        <v>0.124917624115184</v>
      </c>
    </row>
    <row r="859" spans="1:16">
      <c r="A859" t="s">
        <v>2331</v>
      </c>
      <c r="B859" t="s">
        <v>540</v>
      </c>
      <c r="C859" t="s">
        <v>2332</v>
      </c>
      <c r="D859" t="s">
        <v>19</v>
      </c>
      <c r="E859" t="s">
        <v>35</v>
      </c>
      <c r="F859" t="s">
        <v>245</v>
      </c>
      <c r="G859">
        <v>3</v>
      </c>
      <c r="H859">
        <v>16311.8</v>
      </c>
      <c r="I859">
        <v>0.15</v>
      </c>
      <c r="J859">
        <v>41595.09</v>
      </c>
      <c r="K859">
        <v>3730.39</v>
      </c>
      <c r="L859">
        <v>4.9</v>
      </c>
      <c r="M859" s="53">
        <v>45601</v>
      </c>
      <c r="N859" t="s">
        <v>43</v>
      </c>
      <c r="O859" t="s">
        <v>44</v>
      </c>
      <c r="P859" s="54">
        <v>0.0896834217692521</v>
      </c>
    </row>
    <row r="860" spans="1:16">
      <c r="A860" t="s">
        <v>2333</v>
      </c>
      <c r="B860" t="s">
        <v>1009</v>
      </c>
      <c r="C860" t="s">
        <v>2334</v>
      </c>
      <c r="D860" t="s">
        <v>53</v>
      </c>
      <c r="E860" t="s">
        <v>71</v>
      </c>
      <c r="F860" t="s">
        <v>406</v>
      </c>
      <c r="G860">
        <v>2</v>
      </c>
      <c r="H860">
        <v>2011.08</v>
      </c>
      <c r="I860">
        <v>0.05</v>
      </c>
      <c r="J860">
        <v>3821.05</v>
      </c>
      <c r="K860">
        <v>853.62</v>
      </c>
      <c r="L860">
        <v>4.8</v>
      </c>
      <c r="M860" s="53">
        <v>45081</v>
      </c>
      <c r="N860" t="s">
        <v>56</v>
      </c>
      <c r="O860" t="s">
        <v>31</v>
      </c>
      <c r="P860" s="54">
        <v>0.223399327410005</v>
      </c>
    </row>
    <row r="861" spans="1:16">
      <c r="A861" t="s">
        <v>2335</v>
      </c>
      <c r="B861" t="s">
        <v>2336</v>
      </c>
      <c r="C861" t="s">
        <v>2337</v>
      </c>
      <c r="D861" t="s">
        <v>27</v>
      </c>
      <c r="E861" t="s">
        <v>117</v>
      </c>
      <c r="F861" t="s">
        <v>192</v>
      </c>
      <c r="G861">
        <v>5</v>
      </c>
      <c r="H861">
        <v>5347.94</v>
      </c>
      <c r="I861">
        <v>0.1</v>
      </c>
      <c r="J861">
        <v>24065.73</v>
      </c>
      <c r="K861">
        <v>1518.73</v>
      </c>
      <c r="L861">
        <v>1</v>
      </c>
      <c r="M861" s="53">
        <v>45201</v>
      </c>
      <c r="N861" t="s">
        <v>43</v>
      </c>
      <c r="O861" t="s">
        <v>73</v>
      </c>
      <c r="P861" s="54">
        <v>0.063107580779806</v>
      </c>
    </row>
    <row r="862" spans="1:16">
      <c r="A862" t="s">
        <v>2338</v>
      </c>
      <c r="B862" t="s">
        <v>2339</v>
      </c>
      <c r="C862" t="s">
        <v>2340</v>
      </c>
      <c r="D862" t="s">
        <v>19</v>
      </c>
      <c r="E862" t="s">
        <v>86</v>
      </c>
      <c r="F862" t="s">
        <v>182</v>
      </c>
      <c r="G862">
        <v>2</v>
      </c>
      <c r="H862">
        <v>358.94</v>
      </c>
      <c r="I862">
        <v>0.1</v>
      </c>
      <c r="J862">
        <v>646.09</v>
      </c>
      <c r="K862">
        <v>80.56</v>
      </c>
      <c r="L862">
        <v>1.6</v>
      </c>
      <c r="M862" s="53">
        <v>45380</v>
      </c>
      <c r="N862" t="s">
        <v>56</v>
      </c>
      <c r="O862" t="s">
        <v>57</v>
      </c>
      <c r="P862" s="54">
        <v>0.124688510888576</v>
      </c>
    </row>
    <row r="863" spans="1:16">
      <c r="A863" t="s">
        <v>2341</v>
      </c>
      <c r="B863" t="s">
        <v>1819</v>
      </c>
      <c r="C863" t="s">
        <v>2342</v>
      </c>
      <c r="D863" t="s">
        <v>27</v>
      </c>
      <c r="E863" t="s">
        <v>48</v>
      </c>
      <c r="F863" t="s">
        <v>64</v>
      </c>
      <c r="G863">
        <v>1</v>
      </c>
      <c r="H863">
        <v>6646.55</v>
      </c>
      <c r="I863">
        <v>0.05</v>
      </c>
      <c r="J863">
        <v>6314.22</v>
      </c>
      <c r="K863">
        <v>1173.08</v>
      </c>
      <c r="L863">
        <v>4.1</v>
      </c>
      <c r="M863" s="53">
        <v>45243</v>
      </c>
      <c r="N863" t="s">
        <v>30</v>
      </c>
      <c r="O863" t="s">
        <v>57</v>
      </c>
      <c r="P863" s="54">
        <v>0.185783833949403</v>
      </c>
    </row>
    <row r="864" spans="1:16">
      <c r="A864" t="s">
        <v>2343</v>
      </c>
      <c r="B864" t="s">
        <v>2344</v>
      </c>
      <c r="C864" t="s">
        <v>2345</v>
      </c>
      <c r="D864" t="s">
        <v>27</v>
      </c>
      <c r="E864" t="s">
        <v>117</v>
      </c>
      <c r="F864" t="s">
        <v>192</v>
      </c>
      <c r="G864">
        <v>2</v>
      </c>
      <c r="H864">
        <v>12466.12</v>
      </c>
      <c r="I864">
        <v>0.05</v>
      </c>
      <c r="J864">
        <v>23685.63</v>
      </c>
      <c r="K864">
        <v>4473</v>
      </c>
      <c r="L864">
        <v>4.6</v>
      </c>
      <c r="M864" s="53">
        <v>45162</v>
      </c>
      <c r="N864" t="s">
        <v>22</v>
      </c>
      <c r="O864" t="s">
        <v>57</v>
      </c>
      <c r="P864" s="54">
        <v>0.188848681669012</v>
      </c>
    </row>
    <row r="865" spans="1:16">
      <c r="A865" t="s">
        <v>2346</v>
      </c>
      <c r="B865" t="s">
        <v>1625</v>
      </c>
      <c r="C865" t="s">
        <v>2347</v>
      </c>
      <c r="D865" t="s">
        <v>27</v>
      </c>
      <c r="E865" t="s">
        <v>48</v>
      </c>
      <c r="F865" t="s">
        <v>64</v>
      </c>
      <c r="G865">
        <v>2</v>
      </c>
      <c r="H865">
        <v>10413.62</v>
      </c>
      <c r="I865">
        <v>0.1</v>
      </c>
      <c r="J865">
        <v>18744.52</v>
      </c>
      <c r="K865">
        <v>1029.66</v>
      </c>
      <c r="L865">
        <v>2.3</v>
      </c>
      <c r="M865" s="53">
        <v>45256</v>
      </c>
      <c r="N865" t="s">
        <v>30</v>
      </c>
      <c r="O865" t="s">
        <v>57</v>
      </c>
      <c r="P865" s="54">
        <v>0.0549312545746704</v>
      </c>
    </row>
    <row r="866" spans="1:16">
      <c r="A866" t="s">
        <v>2348</v>
      </c>
      <c r="B866" t="s">
        <v>1032</v>
      </c>
      <c r="C866" t="s">
        <v>2349</v>
      </c>
      <c r="D866" t="s">
        <v>40</v>
      </c>
      <c r="E866" t="s">
        <v>81</v>
      </c>
      <c r="F866" t="s">
        <v>263</v>
      </c>
      <c r="G866">
        <v>4</v>
      </c>
      <c r="H866">
        <v>15320.16</v>
      </c>
      <c r="I866">
        <v>0.05</v>
      </c>
      <c r="J866">
        <v>58216.61</v>
      </c>
      <c r="K866">
        <v>10551.59</v>
      </c>
      <c r="L866">
        <v>1.5</v>
      </c>
      <c r="M866" s="53">
        <v>45078</v>
      </c>
      <c r="N866" t="s">
        <v>22</v>
      </c>
      <c r="O866" t="s">
        <v>44</v>
      </c>
      <c r="P866" s="54">
        <v>0.181247070209</v>
      </c>
    </row>
    <row r="867" spans="1:16">
      <c r="A867" t="s">
        <v>2350</v>
      </c>
      <c r="B867" t="s">
        <v>1140</v>
      </c>
      <c r="C867" t="s">
        <v>2351</v>
      </c>
      <c r="D867" t="s">
        <v>40</v>
      </c>
      <c r="E867" t="s">
        <v>174</v>
      </c>
      <c r="F867" t="s">
        <v>313</v>
      </c>
      <c r="G867">
        <v>3</v>
      </c>
      <c r="H867">
        <v>12610.63</v>
      </c>
      <c r="I867">
        <v>0.15</v>
      </c>
      <c r="J867">
        <v>32157.11</v>
      </c>
      <c r="K867">
        <v>3639.39</v>
      </c>
      <c r="L867">
        <v>3.9</v>
      </c>
      <c r="M867" s="53">
        <v>45227</v>
      </c>
      <c r="N867" t="s">
        <v>30</v>
      </c>
      <c r="O867" t="s">
        <v>31</v>
      </c>
      <c r="P867" s="54">
        <v>0.113175282231519</v>
      </c>
    </row>
    <row r="868" spans="1:16">
      <c r="A868" t="s">
        <v>2352</v>
      </c>
      <c r="B868" t="s">
        <v>1826</v>
      </c>
      <c r="C868" t="s">
        <v>2353</v>
      </c>
      <c r="D868" t="s">
        <v>27</v>
      </c>
      <c r="E868" t="s">
        <v>117</v>
      </c>
      <c r="F868" t="s">
        <v>192</v>
      </c>
      <c r="G868">
        <v>1</v>
      </c>
      <c r="H868">
        <v>831.73</v>
      </c>
      <c r="I868">
        <v>0.1</v>
      </c>
      <c r="J868">
        <v>748.56</v>
      </c>
      <c r="K868">
        <v>110.92</v>
      </c>
      <c r="L868">
        <v>1.2</v>
      </c>
      <c r="M868" s="53">
        <v>45142</v>
      </c>
      <c r="N868" t="s">
        <v>22</v>
      </c>
      <c r="O868" t="s">
        <v>44</v>
      </c>
      <c r="P868" s="54">
        <v>0.148177834776103</v>
      </c>
    </row>
    <row r="869" spans="1:16">
      <c r="A869" t="s">
        <v>2354</v>
      </c>
      <c r="B869" t="s">
        <v>1762</v>
      </c>
      <c r="C869" t="s">
        <v>2355</v>
      </c>
      <c r="D869" t="s">
        <v>19</v>
      </c>
      <c r="E869" t="s">
        <v>86</v>
      </c>
      <c r="F869" t="s">
        <v>113</v>
      </c>
      <c r="G869">
        <v>2</v>
      </c>
      <c r="H869">
        <v>14959.7</v>
      </c>
      <c r="I869">
        <v>0.05</v>
      </c>
      <c r="J869">
        <v>28423.43</v>
      </c>
      <c r="K869">
        <v>2834.45</v>
      </c>
      <c r="L869">
        <v>2.2</v>
      </c>
      <c r="M869" s="53">
        <v>45641</v>
      </c>
      <c r="N869" t="s">
        <v>30</v>
      </c>
      <c r="O869" t="s">
        <v>31</v>
      </c>
      <c r="P869" s="54">
        <v>0.0997223065618752</v>
      </c>
    </row>
    <row r="870" spans="1:16">
      <c r="A870" t="s">
        <v>2356</v>
      </c>
      <c r="B870" t="s">
        <v>749</v>
      </c>
      <c r="C870" t="s">
        <v>2357</v>
      </c>
      <c r="D870" t="s">
        <v>19</v>
      </c>
      <c r="E870" t="s">
        <v>129</v>
      </c>
      <c r="F870" t="s">
        <v>302</v>
      </c>
      <c r="G870">
        <v>5</v>
      </c>
      <c r="H870">
        <v>7437.53</v>
      </c>
      <c r="I870">
        <v>0.05</v>
      </c>
      <c r="J870">
        <v>35328.27</v>
      </c>
      <c r="K870">
        <v>6753.39</v>
      </c>
      <c r="L870">
        <v>4.7</v>
      </c>
      <c r="M870" s="53">
        <v>44965</v>
      </c>
      <c r="N870" t="s">
        <v>56</v>
      </c>
      <c r="O870" t="s">
        <v>57</v>
      </c>
      <c r="P870" s="54">
        <v>0.191161072987724</v>
      </c>
    </row>
    <row r="871" spans="1:16">
      <c r="A871" t="s">
        <v>2358</v>
      </c>
      <c r="B871" t="s">
        <v>2139</v>
      </c>
      <c r="C871" t="s">
        <v>2359</v>
      </c>
      <c r="D871" t="s">
        <v>19</v>
      </c>
      <c r="E871" t="s">
        <v>129</v>
      </c>
      <c r="F871" t="s">
        <v>167</v>
      </c>
      <c r="G871">
        <v>1</v>
      </c>
      <c r="H871">
        <v>2516.95</v>
      </c>
      <c r="I871">
        <v>0.1</v>
      </c>
      <c r="J871">
        <v>2265.26</v>
      </c>
      <c r="K871">
        <v>123.56</v>
      </c>
      <c r="L871">
        <v>4.9</v>
      </c>
      <c r="M871" s="53">
        <v>45091</v>
      </c>
      <c r="N871" t="s">
        <v>43</v>
      </c>
      <c r="O871" t="s">
        <v>31</v>
      </c>
      <c r="P871" s="54">
        <v>0.0545456150728835</v>
      </c>
    </row>
    <row r="872" spans="1:16">
      <c r="A872" t="s">
        <v>2360</v>
      </c>
      <c r="B872" t="s">
        <v>794</v>
      </c>
      <c r="C872" t="s">
        <v>2361</v>
      </c>
      <c r="D872" t="s">
        <v>40</v>
      </c>
      <c r="E872" t="s">
        <v>81</v>
      </c>
      <c r="F872" t="s">
        <v>358</v>
      </c>
      <c r="G872">
        <v>1</v>
      </c>
      <c r="H872">
        <v>12210.11</v>
      </c>
      <c r="I872">
        <v>0.05</v>
      </c>
      <c r="J872">
        <v>11599.6</v>
      </c>
      <c r="K872">
        <v>996.78</v>
      </c>
      <c r="L872">
        <v>4.7</v>
      </c>
      <c r="M872" s="53">
        <v>45448</v>
      </c>
      <c r="N872" t="s">
        <v>30</v>
      </c>
      <c r="O872" t="s">
        <v>44</v>
      </c>
      <c r="P872" s="54">
        <v>0.0859322735266733</v>
      </c>
    </row>
    <row r="873" spans="1:16">
      <c r="A873" t="s">
        <v>2362</v>
      </c>
      <c r="B873" t="s">
        <v>1182</v>
      </c>
      <c r="C873" t="s">
        <v>388</v>
      </c>
      <c r="D873" t="s">
        <v>40</v>
      </c>
      <c r="E873" t="s">
        <v>41</v>
      </c>
      <c r="F873" t="s">
        <v>91</v>
      </c>
      <c r="G873">
        <v>1</v>
      </c>
      <c r="H873">
        <v>12320.14</v>
      </c>
      <c r="I873">
        <v>0.2</v>
      </c>
      <c r="J873">
        <v>9856.11</v>
      </c>
      <c r="K873">
        <v>923.28</v>
      </c>
      <c r="L873">
        <v>4.5</v>
      </c>
      <c r="M873" s="53">
        <v>45507</v>
      </c>
      <c r="N873" t="s">
        <v>43</v>
      </c>
      <c r="O873" t="s">
        <v>44</v>
      </c>
      <c r="P873" s="54">
        <v>0.0936759025619641</v>
      </c>
    </row>
    <row r="874" spans="1:16">
      <c r="A874" t="s">
        <v>2363</v>
      </c>
      <c r="B874" t="s">
        <v>1113</v>
      </c>
      <c r="C874" t="s">
        <v>716</v>
      </c>
      <c r="D874" t="s">
        <v>19</v>
      </c>
      <c r="E874" t="s">
        <v>129</v>
      </c>
      <c r="F874" t="s">
        <v>302</v>
      </c>
      <c r="G874">
        <v>2</v>
      </c>
      <c r="H874">
        <v>17206.82</v>
      </c>
      <c r="I874">
        <v>0.15</v>
      </c>
      <c r="J874">
        <v>29251.59</v>
      </c>
      <c r="K874">
        <v>3465.13</v>
      </c>
      <c r="L874">
        <v>3.3</v>
      </c>
      <c r="M874" s="53">
        <v>45372</v>
      </c>
      <c r="N874" t="s">
        <v>43</v>
      </c>
      <c r="O874" t="s">
        <v>73</v>
      </c>
      <c r="P874" s="54">
        <v>0.118459543566692</v>
      </c>
    </row>
    <row r="875" spans="1:16">
      <c r="A875" t="s">
        <v>2364</v>
      </c>
      <c r="B875" t="s">
        <v>103</v>
      </c>
      <c r="C875" t="s">
        <v>2365</v>
      </c>
      <c r="D875" t="s">
        <v>53</v>
      </c>
      <c r="E875" t="s">
        <v>54</v>
      </c>
      <c r="F875" t="s">
        <v>55</v>
      </c>
      <c r="G875">
        <v>1</v>
      </c>
      <c r="H875">
        <v>5109.85</v>
      </c>
      <c r="I875">
        <v>0.05</v>
      </c>
      <c r="J875">
        <v>4854.36</v>
      </c>
      <c r="K875">
        <v>310.84</v>
      </c>
      <c r="L875">
        <v>1.4</v>
      </c>
      <c r="M875" s="53">
        <v>45470</v>
      </c>
      <c r="N875" t="s">
        <v>22</v>
      </c>
      <c r="O875" t="s">
        <v>44</v>
      </c>
      <c r="P875" s="54">
        <v>0.0640331578210104</v>
      </c>
    </row>
    <row r="876" spans="1:16">
      <c r="A876" t="s">
        <v>2366</v>
      </c>
      <c r="B876" t="s">
        <v>2344</v>
      </c>
      <c r="C876" t="s">
        <v>2367</v>
      </c>
      <c r="D876" t="s">
        <v>19</v>
      </c>
      <c r="E876" t="s">
        <v>129</v>
      </c>
      <c r="F876" t="s">
        <v>302</v>
      </c>
      <c r="G876">
        <v>3</v>
      </c>
      <c r="H876">
        <v>4274.97</v>
      </c>
      <c r="I876">
        <v>0.1</v>
      </c>
      <c r="J876">
        <v>11542.42</v>
      </c>
      <c r="K876">
        <v>1316.56</v>
      </c>
      <c r="L876">
        <v>3.1</v>
      </c>
      <c r="M876" s="53">
        <v>45609</v>
      </c>
      <c r="N876" t="s">
        <v>43</v>
      </c>
      <c r="O876" t="s">
        <v>31</v>
      </c>
      <c r="P876" s="54">
        <v>0.114062735544193</v>
      </c>
    </row>
    <row r="877" spans="1:16">
      <c r="A877" t="s">
        <v>2368</v>
      </c>
      <c r="B877" t="s">
        <v>931</v>
      </c>
      <c r="C877" t="s">
        <v>2369</v>
      </c>
      <c r="D877" t="s">
        <v>40</v>
      </c>
      <c r="E877" t="s">
        <v>41</v>
      </c>
      <c r="F877" t="s">
        <v>91</v>
      </c>
      <c r="G877">
        <v>4</v>
      </c>
      <c r="H877">
        <v>12343.06</v>
      </c>
      <c r="I877">
        <v>0.1</v>
      </c>
      <c r="J877">
        <v>44435.02</v>
      </c>
      <c r="K877">
        <v>6525.24</v>
      </c>
      <c r="L877">
        <v>1.3</v>
      </c>
      <c r="M877" s="53">
        <v>45434</v>
      </c>
      <c r="N877" t="s">
        <v>43</v>
      </c>
      <c r="O877" t="s">
        <v>31</v>
      </c>
      <c r="P877" s="54">
        <v>0.146849039338792</v>
      </c>
    </row>
    <row r="878" spans="1:16">
      <c r="A878" t="s">
        <v>2370</v>
      </c>
      <c r="B878" t="s">
        <v>2371</v>
      </c>
      <c r="C878" t="s">
        <v>2372</v>
      </c>
      <c r="D878" t="s">
        <v>19</v>
      </c>
      <c r="E878" t="s">
        <v>129</v>
      </c>
      <c r="F878" t="s">
        <v>320</v>
      </c>
      <c r="G878">
        <v>2</v>
      </c>
      <c r="H878">
        <v>5061.39</v>
      </c>
      <c r="I878">
        <v>0.1</v>
      </c>
      <c r="J878">
        <v>9110.5</v>
      </c>
      <c r="K878">
        <v>2198.14</v>
      </c>
      <c r="L878">
        <v>2.7</v>
      </c>
      <c r="M878" s="53">
        <v>45469</v>
      </c>
      <c r="N878" t="s">
        <v>22</v>
      </c>
      <c r="O878" t="s">
        <v>57</v>
      </c>
      <c r="P878" s="54">
        <v>0.241275451402228</v>
      </c>
    </row>
    <row r="879" spans="1:16">
      <c r="A879" t="s">
        <v>2373</v>
      </c>
      <c r="B879" t="s">
        <v>2374</v>
      </c>
      <c r="C879" t="s">
        <v>2375</v>
      </c>
      <c r="D879" t="s">
        <v>40</v>
      </c>
      <c r="E879" t="s">
        <v>81</v>
      </c>
      <c r="F879" t="s">
        <v>241</v>
      </c>
      <c r="G879">
        <v>4</v>
      </c>
      <c r="H879">
        <v>15995.26</v>
      </c>
      <c r="I879">
        <v>0.2</v>
      </c>
      <c r="J879">
        <v>51184.83</v>
      </c>
      <c r="K879">
        <v>3928.03</v>
      </c>
      <c r="L879">
        <v>4.4</v>
      </c>
      <c r="M879" s="53">
        <v>45133</v>
      </c>
      <c r="N879" t="s">
        <v>43</v>
      </c>
      <c r="O879" t="s">
        <v>73</v>
      </c>
      <c r="P879" s="54">
        <v>0.076742073774593</v>
      </c>
    </row>
    <row r="880" spans="1:16">
      <c r="A880" t="s">
        <v>2376</v>
      </c>
      <c r="B880" t="s">
        <v>1574</v>
      </c>
      <c r="C880" t="s">
        <v>2377</v>
      </c>
      <c r="D880" t="s">
        <v>19</v>
      </c>
      <c r="E880" t="s">
        <v>129</v>
      </c>
      <c r="F880" t="s">
        <v>130</v>
      </c>
      <c r="G880">
        <v>4</v>
      </c>
      <c r="H880">
        <v>2315.68</v>
      </c>
      <c r="I880">
        <v>0.2</v>
      </c>
      <c r="J880">
        <v>7410.18</v>
      </c>
      <c r="K880">
        <v>1403.63</v>
      </c>
      <c r="L880">
        <v>4.9</v>
      </c>
      <c r="M880" s="53">
        <v>45139</v>
      </c>
      <c r="N880" t="s">
        <v>30</v>
      </c>
      <c r="O880" t="s">
        <v>57</v>
      </c>
      <c r="P880" s="54">
        <v>0.189419150412001</v>
      </c>
    </row>
    <row r="881" spans="1:16">
      <c r="A881" t="s">
        <v>2378</v>
      </c>
      <c r="B881" t="s">
        <v>2379</v>
      </c>
      <c r="C881" t="s">
        <v>2380</v>
      </c>
      <c r="D881" t="s">
        <v>40</v>
      </c>
      <c r="E881" t="s">
        <v>262</v>
      </c>
      <c r="F881" t="s">
        <v>385</v>
      </c>
      <c r="G881">
        <v>1</v>
      </c>
      <c r="H881">
        <v>9969.46</v>
      </c>
      <c r="I881">
        <v>0.15</v>
      </c>
      <c r="J881">
        <v>8474.04</v>
      </c>
      <c r="K881">
        <v>1123.16</v>
      </c>
      <c r="L881">
        <v>4.6</v>
      </c>
      <c r="M881" s="53">
        <v>45361</v>
      </c>
      <c r="N881" t="s">
        <v>43</v>
      </c>
      <c r="O881" t="s">
        <v>44</v>
      </c>
      <c r="P881" s="54">
        <v>0.132541267211389</v>
      </c>
    </row>
    <row r="882" spans="1:16">
      <c r="A882" t="s">
        <v>2381</v>
      </c>
      <c r="B882" t="s">
        <v>2382</v>
      </c>
      <c r="C882" t="s">
        <v>2383</v>
      </c>
      <c r="D882" t="s">
        <v>40</v>
      </c>
      <c r="E882" t="s">
        <v>174</v>
      </c>
      <c r="F882" t="s">
        <v>202</v>
      </c>
      <c r="G882">
        <v>2</v>
      </c>
      <c r="H882">
        <v>15518.44</v>
      </c>
      <c r="I882">
        <v>0.05</v>
      </c>
      <c r="J882">
        <v>29485.04</v>
      </c>
      <c r="K882">
        <v>3391.76</v>
      </c>
      <c r="L882">
        <v>4.5</v>
      </c>
      <c r="M882" s="53">
        <v>45258</v>
      </c>
      <c r="N882" t="s">
        <v>22</v>
      </c>
      <c r="O882" t="s">
        <v>44</v>
      </c>
      <c r="P882" s="54">
        <v>0.115033250760386</v>
      </c>
    </row>
    <row r="883" spans="1:16">
      <c r="A883" t="s">
        <v>2384</v>
      </c>
      <c r="B883" t="s">
        <v>1012</v>
      </c>
      <c r="C883" t="s">
        <v>2385</v>
      </c>
      <c r="D883" t="s">
        <v>53</v>
      </c>
      <c r="E883" t="s">
        <v>54</v>
      </c>
      <c r="F883" t="s">
        <v>258</v>
      </c>
      <c r="G883">
        <v>2</v>
      </c>
      <c r="H883">
        <v>555.72</v>
      </c>
      <c r="I883">
        <v>0.15</v>
      </c>
      <c r="J883">
        <v>944.72</v>
      </c>
      <c r="K883">
        <v>105.22</v>
      </c>
      <c r="L883">
        <v>2</v>
      </c>
      <c r="M883" s="53">
        <v>44929</v>
      </c>
      <c r="N883" t="s">
        <v>56</v>
      </c>
      <c r="O883" t="s">
        <v>73</v>
      </c>
      <c r="P883" s="54">
        <v>0.111376915911593</v>
      </c>
    </row>
    <row r="884" spans="1:16">
      <c r="A884" t="s">
        <v>2386</v>
      </c>
      <c r="B884" t="s">
        <v>1098</v>
      </c>
      <c r="C884" t="s">
        <v>2387</v>
      </c>
      <c r="D884" t="s">
        <v>40</v>
      </c>
      <c r="E884" t="s">
        <v>262</v>
      </c>
      <c r="F884" t="s">
        <v>773</v>
      </c>
      <c r="G884">
        <v>2</v>
      </c>
      <c r="H884">
        <v>5084.95</v>
      </c>
      <c r="I884">
        <v>0.05</v>
      </c>
      <c r="J884">
        <v>9661.4</v>
      </c>
      <c r="K884">
        <v>1279.09</v>
      </c>
      <c r="L884">
        <v>4.4</v>
      </c>
      <c r="M884" s="53">
        <v>45604</v>
      </c>
      <c r="N884" t="s">
        <v>22</v>
      </c>
      <c r="O884" t="s">
        <v>57</v>
      </c>
      <c r="P884" s="54">
        <v>0.132391785869543</v>
      </c>
    </row>
    <row r="885" spans="1:16">
      <c r="A885" t="s">
        <v>2388</v>
      </c>
      <c r="B885" t="s">
        <v>1498</v>
      </c>
      <c r="C885" t="s">
        <v>2389</v>
      </c>
      <c r="D885" t="s">
        <v>53</v>
      </c>
      <c r="E885" t="s">
        <v>95</v>
      </c>
      <c r="F885" t="s">
        <v>271</v>
      </c>
      <c r="G885">
        <v>2</v>
      </c>
      <c r="H885">
        <v>7087.79</v>
      </c>
      <c r="I885">
        <v>0.2</v>
      </c>
      <c r="J885">
        <v>11340.46</v>
      </c>
      <c r="K885">
        <v>838.61</v>
      </c>
      <c r="L885">
        <v>4.5</v>
      </c>
      <c r="M885" s="53">
        <v>45028</v>
      </c>
      <c r="N885" t="s">
        <v>30</v>
      </c>
      <c r="O885" t="s">
        <v>31</v>
      </c>
      <c r="P885" s="54">
        <v>0.0739484994435852</v>
      </c>
    </row>
    <row r="886" spans="1:16">
      <c r="A886" t="s">
        <v>2390</v>
      </c>
      <c r="B886" t="s">
        <v>639</v>
      </c>
      <c r="C886" t="s">
        <v>2391</v>
      </c>
      <c r="D886" t="s">
        <v>27</v>
      </c>
      <c r="E886" t="s">
        <v>233</v>
      </c>
      <c r="F886" t="s">
        <v>606</v>
      </c>
      <c r="G886">
        <v>2</v>
      </c>
      <c r="H886">
        <v>1803.45</v>
      </c>
      <c r="I886">
        <v>0.2</v>
      </c>
      <c r="J886">
        <v>2885.52</v>
      </c>
      <c r="K886">
        <v>192.38</v>
      </c>
      <c r="L886">
        <v>2.1</v>
      </c>
      <c r="M886" s="53">
        <v>45405</v>
      </c>
      <c r="N886" t="s">
        <v>56</v>
      </c>
      <c r="O886" t="s">
        <v>73</v>
      </c>
      <c r="P886" s="54">
        <v>0.0666708253624997</v>
      </c>
    </row>
    <row r="887" spans="1:16">
      <c r="A887" t="s">
        <v>2392</v>
      </c>
      <c r="B887" t="s">
        <v>765</v>
      </c>
      <c r="C887" t="s">
        <v>2393</v>
      </c>
      <c r="D887" t="s">
        <v>53</v>
      </c>
      <c r="E887" t="s">
        <v>71</v>
      </c>
      <c r="F887" t="s">
        <v>150</v>
      </c>
      <c r="G887">
        <v>2</v>
      </c>
      <c r="H887">
        <v>11775.28</v>
      </c>
      <c r="I887">
        <v>0.2</v>
      </c>
      <c r="J887">
        <v>18840.45</v>
      </c>
      <c r="K887">
        <v>2577.2</v>
      </c>
      <c r="L887">
        <v>4.8</v>
      </c>
      <c r="M887" s="53">
        <v>45172</v>
      </c>
      <c r="N887" t="s">
        <v>56</v>
      </c>
      <c r="O887" t="s">
        <v>23</v>
      </c>
      <c r="P887" s="54">
        <v>0.136790787905809</v>
      </c>
    </row>
    <row r="888" spans="1:16">
      <c r="A888" t="s">
        <v>2394</v>
      </c>
      <c r="B888" t="s">
        <v>2395</v>
      </c>
      <c r="C888" t="s">
        <v>2396</v>
      </c>
      <c r="D888" t="s">
        <v>27</v>
      </c>
      <c r="E888" t="s">
        <v>48</v>
      </c>
      <c r="F888" t="s">
        <v>583</v>
      </c>
      <c r="G888">
        <v>5</v>
      </c>
      <c r="H888">
        <v>9388.47</v>
      </c>
      <c r="I888">
        <v>0.05</v>
      </c>
      <c r="J888">
        <v>44595.23</v>
      </c>
      <c r="K888">
        <v>6171.93</v>
      </c>
      <c r="L888">
        <v>3.2</v>
      </c>
      <c r="M888" s="53">
        <v>45655</v>
      </c>
      <c r="N888" t="s">
        <v>22</v>
      </c>
      <c r="O888" t="s">
        <v>57</v>
      </c>
      <c r="P888" s="54">
        <v>0.138398882571073</v>
      </c>
    </row>
    <row r="889" spans="1:16">
      <c r="A889" t="s">
        <v>2397</v>
      </c>
      <c r="B889" t="s">
        <v>1507</v>
      </c>
      <c r="C889" t="s">
        <v>2398</v>
      </c>
      <c r="D889" t="s">
        <v>40</v>
      </c>
      <c r="E889" t="s">
        <v>262</v>
      </c>
      <c r="F889" t="s">
        <v>385</v>
      </c>
      <c r="G889">
        <v>1</v>
      </c>
      <c r="H889">
        <v>13797.94</v>
      </c>
      <c r="I889">
        <v>0.05</v>
      </c>
      <c r="J889">
        <v>13108.04</v>
      </c>
      <c r="K889">
        <v>1879.29</v>
      </c>
      <c r="L889">
        <v>2.4</v>
      </c>
      <c r="M889" s="53">
        <v>45013</v>
      </c>
      <c r="N889" t="s">
        <v>30</v>
      </c>
      <c r="O889" t="s">
        <v>57</v>
      </c>
      <c r="P889" s="54">
        <v>0.143369260392858</v>
      </c>
    </row>
    <row r="890" spans="1:16">
      <c r="A890" t="s">
        <v>2399</v>
      </c>
      <c r="B890" t="s">
        <v>2400</v>
      </c>
      <c r="C890" t="s">
        <v>2401</v>
      </c>
      <c r="D890" t="s">
        <v>19</v>
      </c>
      <c r="E890" t="s">
        <v>20</v>
      </c>
      <c r="F890" t="s">
        <v>121</v>
      </c>
      <c r="G890">
        <v>1</v>
      </c>
      <c r="H890">
        <v>16565.18</v>
      </c>
      <c r="I890">
        <v>0.1</v>
      </c>
      <c r="J890">
        <v>14908.66</v>
      </c>
      <c r="K890">
        <v>1165.79</v>
      </c>
      <c r="L890">
        <v>2.5</v>
      </c>
      <c r="M890" s="53">
        <v>45514</v>
      </c>
      <c r="N890" t="s">
        <v>43</v>
      </c>
      <c r="O890" t="s">
        <v>73</v>
      </c>
      <c r="P890" s="54">
        <v>0.0781954917477493</v>
      </c>
    </row>
    <row r="891" spans="1:16">
      <c r="A891" t="s">
        <v>2402</v>
      </c>
      <c r="B891" t="s">
        <v>69</v>
      </c>
      <c r="C891" t="s">
        <v>2403</v>
      </c>
      <c r="D891" t="s">
        <v>53</v>
      </c>
      <c r="E891" t="s">
        <v>95</v>
      </c>
      <c r="F891" t="s">
        <v>306</v>
      </c>
      <c r="G891">
        <v>4</v>
      </c>
      <c r="H891">
        <v>16188.09</v>
      </c>
      <c r="I891">
        <v>0.2</v>
      </c>
      <c r="J891">
        <v>51801.89</v>
      </c>
      <c r="K891">
        <v>12436.15</v>
      </c>
      <c r="L891">
        <v>3.3</v>
      </c>
      <c r="M891" s="53">
        <v>44952</v>
      </c>
      <c r="N891" t="s">
        <v>22</v>
      </c>
      <c r="O891" t="s">
        <v>23</v>
      </c>
      <c r="P891" s="54">
        <v>0.240071356469812</v>
      </c>
    </row>
    <row r="892" spans="1:16">
      <c r="A892" t="s">
        <v>2404</v>
      </c>
      <c r="B892" t="s">
        <v>1211</v>
      </c>
      <c r="C892" t="s">
        <v>2405</v>
      </c>
      <c r="D892" t="s">
        <v>27</v>
      </c>
      <c r="E892" t="s">
        <v>233</v>
      </c>
      <c r="F892" t="s">
        <v>362</v>
      </c>
      <c r="G892">
        <v>5</v>
      </c>
      <c r="H892">
        <v>15509.29</v>
      </c>
      <c r="I892">
        <v>0.05</v>
      </c>
      <c r="J892">
        <v>73669.13</v>
      </c>
      <c r="K892">
        <v>10945.25</v>
      </c>
      <c r="L892">
        <v>3</v>
      </c>
      <c r="M892" s="53">
        <v>45637</v>
      </c>
      <c r="N892" t="s">
        <v>22</v>
      </c>
      <c r="O892" t="s">
        <v>57</v>
      </c>
      <c r="P892" s="54">
        <v>0.148573086175987</v>
      </c>
    </row>
    <row r="893" spans="1:16">
      <c r="A893" t="s">
        <v>2406</v>
      </c>
      <c r="B893" t="s">
        <v>2407</v>
      </c>
      <c r="C893" t="s">
        <v>535</v>
      </c>
      <c r="D893" t="s">
        <v>19</v>
      </c>
      <c r="E893" t="s">
        <v>35</v>
      </c>
      <c r="F893" t="s">
        <v>215</v>
      </c>
      <c r="G893">
        <v>5</v>
      </c>
      <c r="H893">
        <v>3757.12</v>
      </c>
      <c r="I893">
        <v>0.1</v>
      </c>
      <c r="J893">
        <v>16907.04</v>
      </c>
      <c r="K893">
        <v>1652.45</v>
      </c>
      <c r="L893">
        <v>4.5</v>
      </c>
      <c r="M893" s="53">
        <v>45651</v>
      </c>
      <c r="N893" t="s">
        <v>43</v>
      </c>
      <c r="O893" t="s">
        <v>57</v>
      </c>
      <c r="P893" s="54">
        <v>0.0977373922342409</v>
      </c>
    </row>
    <row r="894" spans="1:16">
      <c r="A894" t="s">
        <v>2408</v>
      </c>
      <c r="B894" t="s">
        <v>1312</v>
      </c>
      <c r="C894" t="s">
        <v>2409</v>
      </c>
      <c r="D894" t="s">
        <v>40</v>
      </c>
      <c r="E894" t="s">
        <v>262</v>
      </c>
      <c r="F894" t="s">
        <v>773</v>
      </c>
      <c r="G894">
        <v>5</v>
      </c>
      <c r="H894">
        <v>14748.8</v>
      </c>
      <c r="I894">
        <v>0.15</v>
      </c>
      <c r="J894">
        <v>62682.4</v>
      </c>
      <c r="K894">
        <v>3999.73</v>
      </c>
      <c r="L894">
        <v>2.9</v>
      </c>
      <c r="M894" s="53">
        <v>45314</v>
      </c>
      <c r="N894" t="s">
        <v>30</v>
      </c>
      <c r="O894" t="s">
        <v>73</v>
      </c>
      <c r="P894" s="54">
        <v>0.0638094584763825</v>
      </c>
    </row>
    <row r="895" spans="1:16">
      <c r="A895" t="s">
        <v>2410</v>
      </c>
      <c r="B895" t="s">
        <v>2411</v>
      </c>
      <c r="C895" t="s">
        <v>453</v>
      </c>
      <c r="D895" t="s">
        <v>40</v>
      </c>
      <c r="E895" t="s">
        <v>41</v>
      </c>
      <c r="F895" t="s">
        <v>91</v>
      </c>
      <c r="G895">
        <v>2</v>
      </c>
      <c r="H895">
        <v>6636.99</v>
      </c>
      <c r="I895">
        <v>0.05</v>
      </c>
      <c r="J895">
        <v>12610.28</v>
      </c>
      <c r="K895">
        <v>1658.43</v>
      </c>
      <c r="L895">
        <v>1.8</v>
      </c>
      <c r="M895" s="53">
        <v>45096</v>
      </c>
      <c r="N895" t="s">
        <v>22</v>
      </c>
      <c r="O895" t="s">
        <v>73</v>
      </c>
      <c r="P895" s="54">
        <v>0.131514129741766</v>
      </c>
    </row>
    <row r="896" spans="1:16">
      <c r="A896" t="s">
        <v>2412</v>
      </c>
      <c r="B896" t="s">
        <v>721</v>
      </c>
      <c r="C896" t="s">
        <v>2413</v>
      </c>
      <c r="D896" t="s">
        <v>19</v>
      </c>
      <c r="E896" t="s">
        <v>20</v>
      </c>
      <c r="F896" t="s">
        <v>134</v>
      </c>
      <c r="G896">
        <v>3</v>
      </c>
      <c r="H896">
        <v>10545.46</v>
      </c>
      <c r="I896">
        <v>0.2</v>
      </c>
      <c r="J896">
        <v>25309.1</v>
      </c>
      <c r="K896">
        <v>2433.64</v>
      </c>
      <c r="L896">
        <v>5</v>
      </c>
      <c r="M896" s="53">
        <v>45536</v>
      </c>
      <c r="N896" t="s">
        <v>43</v>
      </c>
      <c r="O896" t="s">
        <v>44</v>
      </c>
      <c r="P896" s="54">
        <v>0.0961567183345121</v>
      </c>
    </row>
    <row r="897" spans="1:16">
      <c r="A897" t="s">
        <v>2414</v>
      </c>
      <c r="B897" t="s">
        <v>184</v>
      </c>
      <c r="C897" t="s">
        <v>2415</v>
      </c>
      <c r="D897" t="s">
        <v>53</v>
      </c>
      <c r="E897" t="s">
        <v>54</v>
      </c>
      <c r="F897" t="s">
        <v>249</v>
      </c>
      <c r="G897">
        <v>3</v>
      </c>
      <c r="H897">
        <v>19036.23</v>
      </c>
      <c r="I897">
        <v>0</v>
      </c>
      <c r="J897">
        <v>57108.69</v>
      </c>
      <c r="K897">
        <v>4287.54</v>
      </c>
      <c r="L897">
        <v>4.1</v>
      </c>
      <c r="M897" s="53">
        <v>45263</v>
      </c>
      <c r="N897" t="s">
        <v>30</v>
      </c>
      <c r="O897" t="s">
        <v>44</v>
      </c>
      <c r="P897" s="54">
        <v>0.0750768403197482</v>
      </c>
    </row>
    <row r="898" spans="1:16">
      <c r="A898" t="s">
        <v>2416</v>
      </c>
      <c r="B898" t="s">
        <v>2379</v>
      </c>
      <c r="C898" t="s">
        <v>211</v>
      </c>
      <c r="D898" t="s">
        <v>40</v>
      </c>
      <c r="E898" t="s">
        <v>262</v>
      </c>
      <c r="F898" t="s">
        <v>385</v>
      </c>
      <c r="G898">
        <v>4</v>
      </c>
      <c r="H898">
        <v>16347.57</v>
      </c>
      <c r="I898">
        <v>0</v>
      </c>
      <c r="J898">
        <v>65390.28</v>
      </c>
      <c r="K898">
        <v>12431.01</v>
      </c>
      <c r="L898">
        <v>3.4</v>
      </c>
      <c r="M898" s="53">
        <v>45354</v>
      </c>
      <c r="N898" t="s">
        <v>30</v>
      </c>
      <c r="O898" t="s">
        <v>31</v>
      </c>
      <c r="P898" s="54">
        <v>0.190104859621338</v>
      </c>
    </row>
    <row r="899" spans="1:16">
      <c r="A899" t="s">
        <v>2417</v>
      </c>
      <c r="B899" t="s">
        <v>115</v>
      </c>
      <c r="C899" t="s">
        <v>2418</v>
      </c>
      <c r="D899" t="s">
        <v>27</v>
      </c>
      <c r="E899" t="s">
        <v>233</v>
      </c>
      <c r="F899" t="s">
        <v>606</v>
      </c>
      <c r="G899">
        <v>1</v>
      </c>
      <c r="H899">
        <v>2160.27</v>
      </c>
      <c r="I899">
        <v>0</v>
      </c>
      <c r="J899">
        <v>2160.27</v>
      </c>
      <c r="K899">
        <v>208.9</v>
      </c>
      <c r="L899">
        <v>4.8</v>
      </c>
      <c r="M899" s="53">
        <v>45460</v>
      </c>
      <c r="N899" t="s">
        <v>22</v>
      </c>
      <c r="O899" t="s">
        <v>23</v>
      </c>
      <c r="P899" s="54">
        <v>0.0967008753535438</v>
      </c>
    </row>
    <row r="900" spans="1:16">
      <c r="A900" t="s">
        <v>2419</v>
      </c>
      <c r="B900" t="s">
        <v>2420</v>
      </c>
      <c r="C900" t="s">
        <v>2421</v>
      </c>
      <c r="D900" t="s">
        <v>40</v>
      </c>
      <c r="E900" t="s">
        <v>41</v>
      </c>
      <c r="F900" t="s">
        <v>154</v>
      </c>
      <c r="G900">
        <v>1</v>
      </c>
      <c r="H900">
        <v>1547.6</v>
      </c>
      <c r="I900">
        <v>0.05</v>
      </c>
      <c r="J900">
        <v>1470.22</v>
      </c>
      <c r="K900">
        <v>102.45</v>
      </c>
      <c r="L900">
        <v>2.7</v>
      </c>
      <c r="M900" s="53">
        <v>45448</v>
      </c>
      <c r="N900" t="s">
        <v>30</v>
      </c>
      <c r="O900" t="s">
        <v>23</v>
      </c>
      <c r="P900" s="54">
        <v>0.0696834487355634</v>
      </c>
    </row>
    <row r="901" spans="1:16">
      <c r="A901" t="s">
        <v>2422</v>
      </c>
      <c r="B901" t="s">
        <v>322</v>
      </c>
      <c r="C901" t="s">
        <v>2423</v>
      </c>
      <c r="D901" t="s">
        <v>19</v>
      </c>
      <c r="E901" t="s">
        <v>86</v>
      </c>
      <c r="F901" t="s">
        <v>182</v>
      </c>
      <c r="G901">
        <v>1</v>
      </c>
      <c r="H901">
        <v>19052.26</v>
      </c>
      <c r="I901">
        <v>0.15</v>
      </c>
      <c r="J901">
        <v>16194.42</v>
      </c>
      <c r="K901">
        <v>1031.85</v>
      </c>
      <c r="L901">
        <v>3.4</v>
      </c>
      <c r="M901" s="53">
        <v>45630</v>
      </c>
      <c r="N901" t="s">
        <v>30</v>
      </c>
      <c r="O901" t="s">
        <v>73</v>
      </c>
      <c r="P901" s="54">
        <v>0.0637163912014138</v>
      </c>
    </row>
    <row r="902" spans="1:16">
      <c r="A902" t="s">
        <v>2424</v>
      </c>
      <c r="B902" t="s">
        <v>2425</v>
      </c>
      <c r="C902" t="s">
        <v>1077</v>
      </c>
      <c r="D902" t="s">
        <v>40</v>
      </c>
      <c r="E902" t="s">
        <v>81</v>
      </c>
      <c r="F902" t="s">
        <v>263</v>
      </c>
      <c r="G902">
        <v>5</v>
      </c>
      <c r="H902">
        <v>15956.36</v>
      </c>
      <c r="I902">
        <v>0.1</v>
      </c>
      <c r="J902">
        <v>71803.62</v>
      </c>
      <c r="K902">
        <v>13449.45</v>
      </c>
      <c r="L902">
        <v>3.7</v>
      </c>
      <c r="M902" s="53">
        <v>45558</v>
      </c>
      <c r="N902" t="s">
        <v>22</v>
      </c>
      <c r="O902" t="s">
        <v>23</v>
      </c>
      <c r="P902" s="54">
        <v>0.187308801422547</v>
      </c>
    </row>
    <row r="903" spans="1:16">
      <c r="A903" t="s">
        <v>2426</v>
      </c>
      <c r="B903" t="s">
        <v>2427</v>
      </c>
      <c r="C903" t="s">
        <v>2428</v>
      </c>
      <c r="D903" t="s">
        <v>40</v>
      </c>
      <c r="E903" t="s">
        <v>41</v>
      </c>
      <c r="F903" t="s">
        <v>42</v>
      </c>
      <c r="G903">
        <v>2</v>
      </c>
      <c r="H903">
        <v>14374.14</v>
      </c>
      <c r="I903">
        <v>0.05</v>
      </c>
      <c r="J903">
        <v>27310.87</v>
      </c>
      <c r="K903">
        <v>1531.17</v>
      </c>
      <c r="L903">
        <v>2.2</v>
      </c>
      <c r="M903" s="53">
        <v>45383</v>
      </c>
      <c r="N903" t="s">
        <v>30</v>
      </c>
      <c r="O903" t="s">
        <v>73</v>
      </c>
      <c r="P903" s="54">
        <v>0.0560644900730002</v>
      </c>
    </row>
    <row r="904" spans="1:16">
      <c r="A904" t="s">
        <v>2429</v>
      </c>
      <c r="B904" t="s">
        <v>2430</v>
      </c>
      <c r="C904" t="s">
        <v>2431</v>
      </c>
      <c r="D904" t="s">
        <v>40</v>
      </c>
      <c r="E904" t="s">
        <v>174</v>
      </c>
      <c r="F904" t="s">
        <v>202</v>
      </c>
      <c r="G904">
        <v>1</v>
      </c>
      <c r="H904">
        <v>3158.03</v>
      </c>
      <c r="I904">
        <v>0.05</v>
      </c>
      <c r="J904">
        <v>3000.13</v>
      </c>
      <c r="K904">
        <v>738.32</v>
      </c>
      <c r="L904">
        <v>2.5</v>
      </c>
      <c r="M904" s="53">
        <v>45104</v>
      </c>
      <c r="N904" t="s">
        <v>56</v>
      </c>
      <c r="O904" t="s">
        <v>57</v>
      </c>
      <c r="P904" s="54">
        <v>0.246096002506558</v>
      </c>
    </row>
    <row r="905" spans="1:16">
      <c r="A905" t="s">
        <v>2432</v>
      </c>
      <c r="B905" t="s">
        <v>66</v>
      </c>
      <c r="C905" t="s">
        <v>2433</v>
      </c>
      <c r="D905" t="s">
        <v>40</v>
      </c>
      <c r="E905" t="s">
        <v>81</v>
      </c>
      <c r="F905" t="s">
        <v>358</v>
      </c>
      <c r="G905">
        <v>3</v>
      </c>
      <c r="H905">
        <v>2146.59</v>
      </c>
      <c r="I905">
        <v>0.1</v>
      </c>
      <c r="J905">
        <v>5795.79</v>
      </c>
      <c r="K905">
        <v>1298.49</v>
      </c>
      <c r="L905">
        <v>2.9</v>
      </c>
      <c r="M905" s="53">
        <v>45301</v>
      </c>
      <c r="N905" t="s">
        <v>43</v>
      </c>
      <c r="O905" t="s">
        <v>73</v>
      </c>
      <c r="P905" s="54">
        <v>0.224040208496167</v>
      </c>
    </row>
    <row r="906" spans="1:16">
      <c r="A906" t="s">
        <v>2434</v>
      </c>
      <c r="B906" t="s">
        <v>2435</v>
      </c>
      <c r="C906" t="s">
        <v>2436</v>
      </c>
      <c r="D906" t="s">
        <v>53</v>
      </c>
      <c r="E906" t="s">
        <v>54</v>
      </c>
      <c r="F906" t="s">
        <v>258</v>
      </c>
      <c r="G906">
        <v>4</v>
      </c>
      <c r="H906">
        <v>19726.06</v>
      </c>
      <c r="I906">
        <v>0.05</v>
      </c>
      <c r="J906">
        <v>74959.03</v>
      </c>
      <c r="K906">
        <v>12066.07</v>
      </c>
      <c r="L906">
        <v>4.6</v>
      </c>
      <c r="M906" s="53">
        <v>45318</v>
      </c>
      <c r="N906" t="s">
        <v>30</v>
      </c>
      <c r="O906" t="s">
        <v>73</v>
      </c>
      <c r="P906" s="54">
        <v>0.160968865258795</v>
      </c>
    </row>
    <row r="907" spans="1:16">
      <c r="A907" t="s">
        <v>2437</v>
      </c>
      <c r="B907" t="s">
        <v>937</v>
      </c>
      <c r="C907" t="s">
        <v>2438</v>
      </c>
      <c r="D907" t="s">
        <v>27</v>
      </c>
      <c r="E907" t="s">
        <v>48</v>
      </c>
      <c r="F907" t="s">
        <v>64</v>
      </c>
      <c r="G907">
        <v>2</v>
      </c>
      <c r="H907">
        <v>6017.42</v>
      </c>
      <c r="I907">
        <v>0.05</v>
      </c>
      <c r="J907">
        <v>11433.1</v>
      </c>
      <c r="K907">
        <v>1300.25</v>
      </c>
      <c r="L907">
        <v>2.9</v>
      </c>
      <c r="M907" s="53">
        <v>45617</v>
      </c>
      <c r="N907" t="s">
        <v>22</v>
      </c>
      <c r="O907" t="s">
        <v>57</v>
      </c>
      <c r="P907" s="54">
        <v>0.11372681075124</v>
      </c>
    </row>
    <row r="908" spans="1:16">
      <c r="A908" t="s">
        <v>2439</v>
      </c>
      <c r="B908" t="s">
        <v>231</v>
      </c>
      <c r="C908" t="s">
        <v>2440</v>
      </c>
      <c r="D908" t="s">
        <v>40</v>
      </c>
      <c r="E908" t="s">
        <v>262</v>
      </c>
      <c r="F908" t="s">
        <v>773</v>
      </c>
      <c r="G908">
        <v>2</v>
      </c>
      <c r="H908">
        <v>16757.67</v>
      </c>
      <c r="I908">
        <v>0.15</v>
      </c>
      <c r="J908">
        <v>28488.04</v>
      </c>
      <c r="K908">
        <v>3604.41</v>
      </c>
      <c r="L908">
        <v>1.2</v>
      </c>
      <c r="M908" s="53">
        <v>45610</v>
      </c>
      <c r="N908" t="s">
        <v>22</v>
      </c>
      <c r="O908" t="s">
        <v>31</v>
      </c>
      <c r="P908" s="54">
        <v>0.12652362184271</v>
      </c>
    </row>
    <row r="909" spans="1:16">
      <c r="A909" t="s">
        <v>2441</v>
      </c>
      <c r="B909" t="s">
        <v>670</v>
      </c>
      <c r="C909" t="s">
        <v>2442</v>
      </c>
      <c r="D909" t="s">
        <v>53</v>
      </c>
      <c r="E909" t="s">
        <v>100</v>
      </c>
      <c r="F909" t="s">
        <v>101</v>
      </c>
      <c r="G909">
        <v>3</v>
      </c>
      <c r="H909">
        <v>16503.32</v>
      </c>
      <c r="I909">
        <v>0</v>
      </c>
      <c r="J909">
        <v>49509.96</v>
      </c>
      <c r="K909">
        <v>12206.69</v>
      </c>
      <c r="L909">
        <v>4.4</v>
      </c>
      <c r="M909" s="53">
        <v>45291</v>
      </c>
      <c r="N909" t="s">
        <v>22</v>
      </c>
      <c r="O909" t="s">
        <v>44</v>
      </c>
      <c r="P909" s="54">
        <v>0.246550189093265</v>
      </c>
    </row>
    <row r="910" spans="1:16">
      <c r="A910" t="s">
        <v>2443</v>
      </c>
      <c r="B910" t="s">
        <v>995</v>
      </c>
      <c r="C910" t="s">
        <v>2444</v>
      </c>
      <c r="D910" t="s">
        <v>19</v>
      </c>
      <c r="E910" t="s">
        <v>20</v>
      </c>
      <c r="F910" t="s">
        <v>454</v>
      </c>
      <c r="G910">
        <v>2</v>
      </c>
      <c r="H910">
        <v>7108.84</v>
      </c>
      <c r="I910">
        <v>0.1</v>
      </c>
      <c r="J910">
        <v>12795.91</v>
      </c>
      <c r="K910">
        <v>1231.09</v>
      </c>
      <c r="L910">
        <v>2.4</v>
      </c>
      <c r="M910" s="53">
        <v>45131</v>
      </c>
      <c r="N910" t="s">
        <v>22</v>
      </c>
      <c r="O910" t="s">
        <v>57</v>
      </c>
      <c r="P910" s="54">
        <v>0.0962096482391639</v>
      </c>
    </row>
    <row r="911" spans="1:16">
      <c r="A911" t="s">
        <v>2445</v>
      </c>
      <c r="B911" t="s">
        <v>2446</v>
      </c>
      <c r="C911" t="s">
        <v>2447</v>
      </c>
      <c r="D911" t="s">
        <v>40</v>
      </c>
      <c r="E911" t="s">
        <v>174</v>
      </c>
      <c r="F911" t="s">
        <v>202</v>
      </c>
      <c r="G911">
        <v>4</v>
      </c>
      <c r="H911">
        <v>765.95</v>
      </c>
      <c r="I911">
        <v>0.2</v>
      </c>
      <c r="J911">
        <v>2451.04</v>
      </c>
      <c r="K911">
        <v>470.58</v>
      </c>
      <c r="L911">
        <v>2.8</v>
      </c>
      <c r="M911" s="53">
        <v>45065</v>
      </c>
      <c r="N911" t="s">
        <v>30</v>
      </c>
      <c r="O911" t="s">
        <v>57</v>
      </c>
      <c r="P911" s="54">
        <v>0.191991970755271</v>
      </c>
    </row>
    <row r="912" spans="1:16">
      <c r="A912" t="s">
        <v>2448</v>
      </c>
      <c r="B912" t="s">
        <v>2449</v>
      </c>
      <c r="C912" t="s">
        <v>2450</v>
      </c>
      <c r="D912" t="s">
        <v>19</v>
      </c>
      <c r="E912" t="s">
        <v>86</v>
      </c>
      <c r="F912" t="s">
        <v>113</v>
      </c>
      <c r="G912">
        <v>5</v>
      </c>
      <c r="H912">
        <v>7818.83</v>
      </c>
      <c r="I912">
        <v>0.2</v>
      </c>
      <c r="J912">
        <v>31275.32</v>
      </c>
      <c r="K912">
        <v>4079.24</v>
      </c>
      <c r="L912">
        <v>2.9</v>
      </c>
      <c r="M912" s="53">
        <v>44930</v>
      </c>
      <c r="N912" t="s">
        <v>22</v>
      </c>
      <c r="O912" t="s">
        <v>31</v>
      </c>
      <c r="P912" s="54">
        <v>0.130430000396479</v>
      </c>
    </row>
    <row r="913" spans="1:16">
      <c r="A913" t="s">
        <v>2451</v>
      </c>
      <c r="B913" t="s">
        <v>2452</v>
      </c>
      <c r="C913" t="s">
        <v>2453</v>
      </c>
      <c r="D913" t="s">
        <v>40</v>
      </c>
      <c r="E913" t="s">
        <v>262</v>
      </c>
      <c r="F913" t="s">
        <v>773</v>
      </c>
      <c r="G913">
        <v>3</v>
      </c>
      <c r="H913">
        <v>19629.38</v>
      </c>
      <c r="I913">
        <v>0.2</v>
      </c>
      <c r="J913">
        <v>47110.51</v>
      </c>
      <c r="K913">
        <v>9474.16</v>
      </c>
      <c r="L913">
        <v>1.9</v>
      </c>
      <c r="M913" s="53">
        <v>44950</v>
      </c>
      <c r="N913" t="s">
        <v>56</v>
      </c>
      <c r="O913" t="s">
        <v>44</v>
      </c>
      <c r="P913" s="54">
        <v>0.201105018816396</v>
      </c>
    </row>
    <row r="914" spans="1:16">
      <c r="A914" t="s">
        <v>2454</v>
      </c>
      <c r="B914" t="s">
        <v>2182</v>
      </c>
      <c r="C914" t="s">
        <v>2455</v>
      </c>
      <c r="D914" t="s">
        <v>19</v>
      </c>
      <c r="E914" t="s">
        <v>86</v>
      </c>
      <c r="F914" t="s">
        <v>320</v>
      </c>
      <c r="G914">
        <v>4</v>
      </c>
      <c r="H914">
        <v>14235.53</v>
      </c>
      <c r="I914">
        <v>0.05</v>
      </c>
      <c r="J914">
        <v>54095.01</v>
      </c>
      <c r="K914">
        <v>13469.79</v>
      </c>
      <c r="L914">
        <v>4.8</v>
      </c>
      <c r="M914" s="53">
        <v>45391</v>
      </c>
      <c r="N914" t="s">
        <v>22</v>
      </c>
      <c r="O914" t="s">
        <v>31</v>
      </c>
      <c r="P914" s="54">
        <v>0.249002449578991</v>
      </c>
    </row>
    <row r="915" spans="1:16">
      <c r="A915" t="s">
        <v>2456</v>
      </c>
      <c r="B915" t="s">
        <v>210</v>
      </c>
      <c r="C915" t="s">
        <v>2457</v>
      </c>
      <c r="D915" t="s">
        <v>53</v>
      </c>
      <c r="E915" t="s">
        <v>71</v>
      </c>
      <c r="F915" t="s">
        <v>72</v>
      </c>
      <c r="G915">
        <v>2</v>
      </c>
      <c r="H915">
        <v>4321.29</v>
      </c>
      <c r="I915">
        <v>0.1</v>
      </c>
      <c r="J915">
        <v>7778.32</v>
      </c>
      <c r="K915">
        <v>1443.19</v>
      </c>
      <c r="L915">
        <v>3.3</v>
      </c>
      <c r="M915" s="53">
        <v>45560</v>
      </c>
      <c r="N915" t="s">
        <v>56</v>
      </c>
      <c r="O915" t="s">
        <v>73</v>
      </c>
      <c r="P915" s="54">
        <v>0.185540065206883</v>
      </c>
    </row>
    <row r="916" spans="1:16">
      <c r="A916" t="s">
        <v>2458</v>
      </c>
      <c r="B916" t="s">
        <v>500</v>
      </c>
      <c r="C916" t="s">
        <v>2459</v>
      </c>
      <c r="D916" t="s">
        <v>19</v>
      </c>
      <c r="E916" t="s">
        <v>35</v>
      </c>
      <c r="F916" t="s">
        <v>121</v>
      </c>
      <c r="G916">
        <v>5</v>
      </c>
      <c r="H916">
        <v>4586.18</v>
      </c>
      <c r="I916">
        <v>0.2</v>
      </c>
      <c r="J916">
        <v>18344.72</v>
      </c>
      <c r="K916">
        <v>2760.88</v>
      </c>
      <c r="L916">
        <v>4.8</v>
      </c>
      <c r="M916" s="53">
        <v>45101</v>
      </c>
      <c r="N916" t="s">
        <v>30</v>
      </c>
      <c r="O916" t="s">
        <v>44</v>
      </c>
      <c r="P916" s="54">
        <v>0.150499980375825</v>
      </c>
    </row>
    <row r="917" spans="1:16">
      <c r="A917" t="s">
        <v>2460</v>
      </c>
      <c r="B917" t="s">
        <v>2461</v>
      </c>
      <c r="C917" t="s">
        <v>2462</v>
      </c>
      <c r="D917" t="s">
        <v>40</v>
      </c>
      <c r="E917" t="s">
        <v>41</v>
      </c>
      <c r="F917" t="s">
        <v>154</v>
      </c>
      <c r="G917">
        <v>3</v>
      </c>
      <c r="H917">
        <v>4148.53</v>
      </c>
      <c r="I917">
        <v>0.05</v>
      </c>
      <c r="J917">
        <v>11823.31</v>
      </c>
      <c r="K917">
        <v>1484.54</v>
      </c>
      <c r="L917">
        <v>3.7</v>
      </c>
      <c r="M917" s="53">
        <v>45625</v>
      </c>
      <c r="N917" t="s">
        <v>30</v>
      </c>
      <c r="O917" t="s">
        <v>23</v>
      </c>
      <c r="P917" s="54">
        <v>0.125560439504673</v>
      </c>
    </row>
    <row r="918" spans="1:16">
      <c r="A918" t="s">
        <v>2463</v>
      </c>
      <c r="B918" t="s">
        <v>2371</v>
      </c>
      <c r="C918" t="s">
        <v>2464</v>
      </c>
      <c r="D918" t="s">
        <v>27</v>
      </c>
      <c r="E918" t="s">
        <v>233</v>
      </c>
      <c r="F918" t="s">
        <v>362</v>
      </c>
      <c r="G918">
        <v>3</v>
      </c>
      <c r="H918">
        <v>2123.01</v>
      </c>
      <c r="I918">
        <v>0.05</v>
      </c>
      <c r="J918">
        <v>6050.58</v>
      </c>
      <c r="K918">
        <v>977.62</v>
      </c>
      <c r="L918">
        <v>4</v>
      </c>
      <c r="M918" s="53">
        <v>45636</v>
      </c>
      <c r="N918" t="s">
        <v>30</v>
      </c>
      <c r="O918" t="s">
        <v>31</v>
      </c>
      <c r="P918" s="54">
        <v>0.16157459284895</v>
      </c>
    </row>
    <row r="919" spans="1:16">
      <c r="A919" t="s">
        <v>2465</v>
      </c>
      <c r="B919" t="s">
        <v>398</v>
      </c>
      <c r="C919" t="s">
        <v>2466</v>
      </c>
      <c r="D919" t="s">
        <v>40</v>
      </c>
      <c r="E919" t="s">
        <v>174</v>
      </c>
      <c r="F919" t="s">
        <v>202</v>
      </c>
      <c r="G919">
        <v>4</v>
      </c>
      <c r="H919">
        <v>13418.39</v>
      </c>
      <c r="I919">
        <v>0.2</v>
      </c>
      <c r="J919">
        <v>42938.85</v>
      </c>
      <c r="K919">
        <v>5666.76</v>
      </c>
      <c r="L919">
        <v>2.6</v>
      </c>
      <c r="M919" s="53">
        <v>45473</v>
      </c>
      <c r="N919" t="s">
        <v>56</v>
      </c>
      <c r="O919" t="s">
        <v>73</v>
      </c>
      <c r="P919" s="54">
        <v>0.13197279386849</v>
      </c>
    </row>
    <row r="920" spans="1:16">
      <c r="A920" t="s">
        <v>2467</v>
      </c>
      <c r="B920" t="s">
        <v>1137</v>
      </c>
      <c r="C920" t="s">
        <v>2468</v>
      </c>
      <c r="D920" t="s">
        <v>27</v>
      </c>
      <c r="E920" t="s">
        <v>48</v>
      </c>
      <c r="F920" t="s">
        <v>64</v>
      </c>
      <c r="G920">
        <v>2</v>
      </c>
      <c r="H920">
        <v>13908.84</v>
      </c>
      <c r="I920">
        <v>0</v>
      </c>
      <c r="J920">
        <v>27817.68</v>
      </c>
      <c r="K920">
        <v>3448.23</v>
      </c>
      <c r="L920">
        <v>4.4</v>
      </c>
      <c r="M920" s="53">
        <v>44942</v>
      </c>
      <c r="N920" t="s">
        <v>56</v>
      </c>
      <c r="O920" t="s">
        <v>23</v>
      </c>
      <c r="P920" s="54">
        <v>0.12395821650116</v>
      </c>
    </row>
    <row r="921" spans="1:16">
      <c r="A921" t="s">
        <v>2469</v>
      </c>
      <c r="B921" t="s">
        <v>265</v>
      </c>
      <c r="C921" t="s">
        <v>2470</v>
      </c>
      <c r="D921" t="s">
        <v>19</v>
      </c>
      <c r="E921" t="s">
        <v>20</v>
      </c>
      <c r="F921" t="s">
        <v>134</v>
      </c>
      <c r="G921">
        <v>3</v>
      </c>
      <c r="H921">
        <v>16009.2</v>
      </c>
      <c r="I921">
        <v>0.2</v>
      </c>
      <c r="J921">
        <v>38422.08</v>
      </c>
      <c r="K921">
        <v>8044.3</v>
      </c>
      <c r="L921">
        <v>2</v>
      </c>
      <c r="M921" s="53">
        <v>45534</v>
      </c>
      <c r="N921" t="s">
        <v>43</v>
      </c>
      <c r="O921" t="s">
        <v>23</v>
      </c>
      <c r="P921" s="54">
        <v>0.209366593375476</v>
      </c>
    </row>
    <row r="922" spans="1:16">
      <c r="A922" t="s">
        <v>2471</v>
      </c>
      <c r="B922" t="s">
        <v>2472</v>
      </c>
      <c r="C922" t="s">
        <v>2473</v>
      </c>
      <c r="D922" t="s">
        <v>40</v>
      </c>
      <c r="E922" t="s">
        <v>262</v>
      </c>
      <c r="F922" t="s">
        <v>345</v>
      </c>
      <c r="G922">
        <v>3</v>
      </c>
      <c r="H922">
        <v>7890.74</v>
      </c>
      <c r="I922">
        <v>0.15</v>
      </c>
      <c r="J922">
        <v>20121.39</v>
      </c>
      <c r="K922">
        <v>3651.59</v>
      </c>
      <c r="L922">
        <v>1.1</v>
      </c>
      <c r="M922" s="53">
        <v>45619</v>
      </c>
      <c r="N922" t="s">
        <v>43</v>
      </c>
      <c r="O922" t="s">
        <v>44</v>
      </c>
      <c r="P922" s="54">
        <v>0.181478019162692</v>
      </c>
    </row>
    <row r="923" spans="1:16">
      <c r="A923" t="s">
        <v>2474</v>
      </c>
      <c r="B923" t="s">
        <v>701</v>
      </c>
      <c r="C923" t="s">
        <v>2475</v>
      </c>
      <c r="D923" t="s">
        <v>27</v>
      </c>
      <c r="E923" t="s">
        <v>117</v>
      </c>
      <c r="F923" t="s">
        <v>505</v>
      </c>
      <c r="G923">
        <v>5</v>
      </c>
      <c r="H923">
        <v>9215.99</v>
      </c>
      <c r="I923">
        <v>0.2</v>
      </c>
      <c r="J923">
        <v>36863.96</v>
      </c>
      <c r="K923">
        <v>8717.98</v>
      </c>
      <c r="L923">
        <v>1.8</v>
      </c>
      <c r="M923" s="53">
        <v>45353</v>
      </c>
      <c r="N923" t="s">
        <v>56</v>
      </c>
      <c r="O923" t="s">
        <v>57</v>
      </c>
      <c r="P923" s="54">
        <v>0.236490599490668</v>
      </c>
    </row>
    <row r="924" spans="1:16">
      <c r="A924" t="s">
        <v>2476</v>
      </c>
      <c r="B924" t="s">
        <v>1093</v>
      </c>
      <c r="C924" t="s">
        <v>2477</v>
      </c>
      <c r="D924" t="s">
        <v>27</v>
      </c>
      <c r="E924" t="s">
        <v>117</v>
      </c>
      <c r="F924" t="s">
        <v>225</v>
      </c>
      <c r="G924">
        <v>2</v>
      </c>
      <c r="H924">
        <v>16299.13</v>
      </c>
      <c r="I924">
        <v>0</v>
      </c>
      <c r="J924">
        <v>32598.26</v>
      </c>
      <c r="K924">
        <v>3783.81</v>
      </c>
      <c r="L924">
        <v>2.5</v>
      </c>
      <c r="M924" s="53">
        <v>45495</v>
      </c>
      <c r="N924" t="s">
        <v>22</v>
      </c>
      <c r="O924" t="s">
        <v>57</v>
      </c>
      <c r="P924" s="54">
        <v>0.116073986771073</v>
      </c>
    </row>
    <row r="925" spans="1:16">
      <c r="A925" t="s">
        <v>2478</v>
      </c>
      <c r="B925" t="s">
        <v>2479</v>
      </c>
      <c r="C925" t="s">
        <v>2480</v>
      </c>
      <c r="D925" t="s">
        <v>40</v>
      </c>
      <c r="E925" t="s">
        <v>41</v>
      </c>
      <c r="F925" t="s">
        <v>125</v>
      </c>
      <c r="G925">
        <v>4</v>
      </c>
      <c r="H925">
        <v>8557.55</v>
      </c>
      <c r="I925">
        <v>0.2</v>
      </c>
      <c r="J925">
        <v>27384.16</v>
      </c>
      <c r="K925">
        <v>6075.64</v>
      </c>
      <c r="L925">
        <v>2.9</v>
      </c>
      <c r="M925" s="53">
        <v>45101</v>
      </c>
      <c r="N925" t="s">
        <v>43</v>
      </c>
      <c r="O925" t="s">
        <v>31</v>
      </c>
      <c r="P925" s="54">
        <v>0.221866947899808</v>
      </c>
    </row>
    <row r="926" spans="1:16">
      <c r="A926" t="s">
        <v>2481</v>
      </c>
      <c r="B926" t="s">
        <v>2482</v>
      </c>
      <c r="C926" t="s">
        <v>2483</v>
      </c>
      <c r="D926" t="s">
        <v>53</v>
      </c>
      <c r="E926" t="s">
        <v>71</v>
      </c>
      <c r="F926" t="s">
        <v>72</v>
      </c>
      <c r="G926">
        <v>3</v>
      </c>
      <c r="H926">
        <v>5968.44</v>
      </c>
      <c r="I926">
        <v>0.2</v>
      </c>
      <c r="J926">
        <v>14324.26</v>
      </c>
      <c r="K926">
        <v>1017.44</v>
      </c>
      <c r="L926">
        <v>2.5</v>
      </c>
      <c r="M926" s="53">
        <v>45126</v>
      </c>
      <c r="N926" t="s">
        <v>22</v>
      </c>
      <c r="O926" t="s">
        <v>57</v>
      </c>
      <c r="P926" s="54">
        <v>0.0710291491497641</v>
      </c>
    </row>
    <row r="927" spans="1:16">
      <c r="A927" t="s">
        <v>2484</v>
      </c>
      <c r="B927" t="s">
        <v>2485</v>
      </c>
      <c r="C927" t="s">
        <v>2486</v>
      </c>
      <c r="D927" t="s">
        <v>53</v>
      </c>
      <c r="E927" t="s">
        <v>95</v>
      </c>
      <c r="F927" t="s">
        <v>306</v>
      </c>
      <c r="G927">
        <v>2</v>
      </c>
      <c r="H927">
        <v>3227.55</v>
      </c>
      <c r="I927">
        <v>0.2</v>
      </c>
      <c r="J927">
        <v>5164.08</v>
      </c>
      <c r="K927">
        <v>381.49</v>
      </c>
      <c r="L927">
        <v>1.4</v>
      </c>
      <c r="M927" s="53">
        <v>45294</v>
      </c>
      <c r="N927" t="s">
        <v>56</v>
      </c>
      <c r="O927" t="s">
        <v>23</v>
      </c>
      <c r="P927" s="54">
        <v>0.0738737587334046</v>
      </c>
    </row>
    <row r="928" spans="1:16">
      <c r="A928" t="s">
        <v>2487</v>
      </c>
      <c r="B928" t="s">
        <v>1179</v>
      </c>
      <c r="C928" t="s">
        <v>2488</v>
      </c>
      <c r="D928" t="s">
        <v>19</v>
      </c>
      <c r="E928" t="s">
        <v>20</v>
      </c>
      <c r="F928" t="s">
        <v>21</v>
      </c>
      <c r="G928">
        <v>5</v>
      </c>
      <c r="H928">
        <v>2137.79</v>
      </c>
      <c r="I928">
        <v>0.05</v>
      </c>
      <c r="J928">
        <v>10154.5</v>
      </c>
      <c r="K928">
        <v>1124.36</v>
      </c>
      <c r="L928">
        <v>4.8</v>
      </c>
      <c r="M928" s="53">
        <v>45500</v>
      </c>
      <c r="N928" t="s">
        <v>43</v>
      </c>
      <c r="O928" t="s">
        <v>73</v>
      </c>
      <c r="P928" s="54">
        <v>0.11072529420454</v>
      </c>
    </row>
    <row r="929" spans="1:16">
      <c r="A929" t="s">
        <v>2489</v>
      </c>
      <c r="B929" t="s">
        <v>1854</v>
      </c>
      <c r="C929" t="s">
        <v>2490</v>
      </c>
      <c r="D929" t="s">
        <v>40</v>
      </c>
      <c r="E929" t="s">
        <v>262</v>
      </c>
      <c r="F929" t="s">
        <v>773</v>
      </c>
      <c r="G929">
        <v>1</v>
      </c>
      <c r="H929">
        <v>17998.7</v>
      </c>
      <c r="I929">
        <v>0.05</v>
      </c>
      <c r="J929">
        <v>17098.76</v>
      </c>
      <c r="K929">
        <v>3605.34</v>
      </c>
      <c r="L929">
        <v>3.3</v>
      </c>
      <c r="M929" s="53">
        <v>45576</v>
      </c>
      <c r="N929" t="s">
        <v>43</v>
      </c>
      <c r="O929" t="s">
        <v>73</v>
      </c>
      <c r="P929" s="54">
        <v>0.210853886480657</v>
      </c>
    </row>
    <row r="930" spans="1:16">
      <c r="A930" t="s">
        <v>2491</v>
      </c>
      <c r="B930" t="s">
        <v>423</v>
      </c>
      <c r="C930" t="s">
        <v>2492</v>
      </c>
      <c r="D930" t="s">
        <v>19</v>
      </c>
      <c r="E930" t="s">
        <v>20</v>
      </c>
      <c r="F930" t="s">
        <v>134</v>
      </c>
      <c r="G930">
        <v>5</v>
      </c>
      <c r="H930">
        <v>1283.34</v>
      </c>
      <c r="I930">
        <v>0</v>
      </c>
      <c r="J930">
        <v>6416.7</v>
      </c>
      <c r="K930">
        <v>670.41</v>
      </c>
      <c r="L930">
        <v>4.8</v>
      </c>
      <c r="M930" s="53">
        <v>44977</v>
      </c>
      <c r="N930" t="s">
        <v>56</v>
      </c>
      <c r="O930" t="s">
        <v>31</v>
      </c>
      <c r="P930" s="54">
        <v>0.104478937771752</v>
      </c>
    </row>
    <row r="931" spans="1:16">
      <c r="A931" t="s">
        <v>2493</v>
      </c>
      <c r="B931" t="s">
        <v>1231</v>
      </c>
      <c r="C931" t="s">
        <v>2494</v>
      </c>
      <c r="D931" t="s">
        <v>27</v>
      </c>
      <c r="E931" t="s">
        <v>48</v>
      </c>
      <c r="F931" t="s">
        <v>77</v>
      </c>
      <c r="G931">
        <v>4</v>
      </c>
      <c r="H931">
        <v>12257.65</v>
      </c>
      <c r="I931">
        <v>0.05</v>
      </c>
      <c r="J931">
        <v>46579.07</v>
      </c>
      <c r="K931">
        <v>4417.33</v>
      </c>
      <c r="L931">
        <v>4.6</v>
      </c>
      <c r="M931" s="53">
        <v>45106</v>
      </c>
      <c r="N931" t="s">
        <v>56</v>
      </c>
      <c r="O931" t="s">
        <v>23</v>
      </c>
      <c r="P931" s="54">
        <v>0.0948350836545255</v>
      </c>
    </row>
    <row r="932" spans="1:16">
      <c r="A932" t="s">
        <v>2495</v>
      </c>
      <c r="B932" t="s">
        <v>2077</v>
      </c>
      <c r="C932" t="s">
        <v>2496</v>
      </c>
      <c r="D932" t="s">
        <v>19</v>
      </c>
      <c r="E932" t="s">
        <v>86</v>
      </c>
      <c r="F932" t="s">
        <v>320</v>
      </c>
      <c r="G932">
        <v>2</v>
      </c>
      <c r="H932">
        <v>17130.57</v>
      </c>
      <c r="I932">
        <v>0.15</v>
      </c>
      <c r="J932">
        <v>29121.97</v>
      </c>
      <c r="K932">
        <v>5892.26</v>
      </c>
      <c r="L932">
        <v>1.3</v>
      </c>
      <c r="M932" s="53">
        <v>45304</v>
      </c>
      <c r="N932" t="s">
        <v>56</v>
      </c>
      <c r="O932" t="s">
        <v>44</v>
      </c>
      <c r="P932" s="54">
        <v>0.202330405532318</v>
      </c>
    </row>
    <row r="933" spans="1:16">
      <c r="A933" t="s">
        <v>2497</v>
      </c>
      <c r="B933" t="s">
        <v>1390</v>
      </c>
      <c r="C933" t="s">
        <v>1237</v>
      </c>
      <c r="D933" t="s">
        <v>19</v>
      </c>
      <c r="E933" t="s">
        <v>86</v>
      </c>
      <c r="F933" t="s">
        <v>113</v>
      </c>
      <c r="G933">
        <v>1</v>
      </c>
      <c r="H933">
        <v>16056.63</v>
      </c>
      <c r="I933">
        <v>0.05</v>
      </c>
      <c r="J933">
        <v>15253.8</v>
      </c>
      <c r="K933">
        <v>3254.8</v>
      </c>
      <c r="L933">
        <v>3.5</v>
      </c>
      <c r="M933" s="53">
        <v>44942</v>
      </c>
      <c r="N933" t="s">
        <v>56</v>
      </c>
      <c r="O933" t="s">
        <v>44</v>
      </c>
      <c r="P933" s="54">
        <v>0.213376339010607</v>
      </c>
    </row>
    <row r="934" spans="1:16">
      <c r="A934" t="s">
        <v>2498</v>
      </c>
      <c r="B934" t="s">
        <v>555</v>
      </c>
      <c r="C934" t="s">
        <v>2499</v>
      </c>
      <c r="D934" t="s">
        <v>27</v>
      </c>
      <c r="E934" t="s">
        <v>117</v>
      </c>
      <c r="F934" t="s">
        <v>118</v>
      </c>
      <c r="G934">
        <v>5</v>
      </c>
      <c r="H934">
        <v>2626.25</v>
      </c>
      <c r="I934">
        <v>0.05</v>
      </c>
      <c r="J934">
        <v>12474.69</v>
      </c>
      <c r="K934">
        <v>2034.16</v>
      </c>
      <c r="L934">
        <v>1.8</v>
      </c>
      <c r="M934" s="53">
        <v>45630</v>
      </c>
      <c r="N934" t="s">
        <v>22</v>
      </c>
      <c r="O934" t="s">
        <v>31</v>
      </c>
      <c r="P934" s="54">
        <v>0.163062969901456</v>
      </c>
    </row>
    <row r="935" spans="1:16">
      <c r="A935" t="s">
        <v>2500</v>
      </c>
      <c r="B935" t="s">
        <v>2501</v>
      </c>
      <c r="C935" t="s">
        <v>2502</v>
      </c>
      <c r="D935" t="s">
        <v>40</v>
      </c>
      <c r="E935" t="s">
        <v>81</v>
      </c>
      <c r="F935" t="s">
        <v>82</v>
      </c>
      <c r="G935">
        <v>4</v>
      </c>
      <c r="H935">
        <v>11875.31</v>
      </c>
      <c r="I935">
        <v>0.1</v>
      </c>
      <c r="J935">
        <v>42751.12</v>
      </c>
      <c r="K935">
        <v>7513.82</v>
      </c>
      <c r="L935">
        <v>2.4</v>
      </c>
      <c r="M935" s="53">
        <v>45606</v>
      </c>
      <c r="N935" t="s">
        <v>43</v>
      </c>
      <c r="O935" t="s">
        <v>23</v>
      </c>
      <c r="P935" s="54">
        <v>0.175757266710206</v>
      </c>
    </row>
    <row r="936" spans="1:16">
      <c r="A936" t="s">
        <v>2503</v>
      </c>
      <c r="B936" t="s">
        <v>2504</v>
      </c>
      <c r="C936" t="s">
        <v>2505</v>
      </c>
      <c r="D936" t="s">
        <v>19</v>
      </c>
      <c r="E936" t="s">
        <v>86</v>
      </c>
      <c r="F936" t="s">
        <v>182</v>
      </c>
      <c r="G936">
        <v>4</v>
      </c>
      <c r="H936">
        <v>5095.61</v>
      </c>
      <c r="I936">
        <v>0.15</v>
      </c>
      <c r="J936">
        <v>17325.07</v>
      </c>
      <c r="K936">
        <v>1536.99</v>
      </c>
      <c r="L936">
        <v>3.4</v>
      </c>
      <c r="M936" s="53">
        <v>45088</v>
      </c>
      <c r="N936" t="s">
        <v>56</v>
      </c>
      <c r="O936" t="s">
        <v>23</v>
      </c>
      <c r="P936" s="54">
        <v>0.0887147930715431</v>
      </c>
    </row>
    <row r="937" spans="1:16">
      <c r="A937" t="s">
        <v>2506</v>
      </c>
      <c r="B937" t="s">
        <v>2344</v>
      </c>
      <c r="C937" t="s">
        <v>2507</v>
      </c>
      <c r="D937" t="s">
        <v>27</v>
      </c>
      <c r="E937" t="s">
        <v>28</v>
      </c>
      <c r="F937" t="s">
        <v>29</v>
      </c>
      <c r="G937">
        <v>2</v>
      </c>
      <c r="H937">
        <v>10103.44</v>
      </c>
      <c r="I937">
        <v>0.2</v>
      </c>
      <c r="J937">
        <v>16165.5</v>
      </c>
      <c r="K937">
        <v>3630.29</v>
      </c>
      <c r="L937">
        <v>4.1</v>
      </c>
      <c r="M937" s="53">
        <v>44994</v>
      </c>
      <c r="N937" t="s">
        <v>56</v>
      </c>
      <c r="O937" t="s">
        <v>73</v>
      </c>
      <c r="P937" s="54">
        <v>0.224570226717392</v>
      </c>
    </row>
    <row r="938" spans="1:16">
      <c r="A938" t="s">
        <v>2508</v>
      </c>
      <c r="B938" t="s">
        <v>2112</v>
      </c>
      <c r="C938" t="s">
        <v>2509</v>
      </c>
      <c r="D938" t="s">
        <v>19</v>
      </c>
      <c r="E938" t="s">
        <v>35</v>
      </c>
      <c r="F938" t="s">
        <v>215</v>
      </c>
      <c r="G938">
        <v>5</v>
      </c>
      <c r="H938">
        <v>14973.38</v>
      </c>
      <c r="I938">
        <v>0.05</v>
      </c>
      <c r="J938">
        <v>71123.55</v>
      </c>
      <c r="K938">
        <v>6423.43</v>
      </c>
      <c r="L938">
        <v>3.5</v>
      </c>
      <c r="M938" s="53">
        <v>45552</v>
      </c>
      <c r="N938" t="s">
        <v>22</v>
      </c>
      <c r="O938" t="s">
        <v>23</v>
      </c>
      <c r="P938" s="54">
        <v>0.090313686535613</v>
      </c>
    </row>
    <row r="939" spans="1:16">
      <c r="A939" t="s">
        <v>2510</v>
      </c>
      <c r="B939" t="s">
        <v>1543</v>
      </c>
      <c r="C939" t="s">
        <v>2511</v>
      </c>
      <c r="D939" t="s">
        <v>19</v>
      </c>
      <c r="E939" t="s">
        <v>129</v>
      </c>
      <c r="F939" t="s">
        <v>320</v>
      </c>
      <c r="G939">
        <v>2</v>
      </c>
      <c r="H939">
        <v>15419.1</v>
      </c>
      <c r="I939">
        <v>0.15</v>
      </c>
      <c r="J939">
        <v>26212.47</v>
      </c>
      <c r="K939">
        <v>3520.04</v>
      </c>
      <c r="L939">
        <v>1.1</v>
      </c>
      <c r="M939" s="53">
        <v>45034</v>
      </c>
      <c r="N939" t="s">
        <v>56</v>
      </c>
      <c r="O939" t="s">
        <v>23</v>
      </c>
      <c r="P939" s="54">
        <v>0.134288756458281</v>
      </c>
    </row>
    <row r="940" spans="1:16">
      <c r="A940" t="s">
        <v>2512</v>
      </c>
      <c r="B940" t="s">
        <v>66</v>
      </c>
      <c r="C940" t="s">
        <v>2513</v>
      </c>
      <c r="D940" t="s">
        <v>53</v>
      </c>
      <c r="E940" t="s">
        <v>54</v>
      </c>
      <c r="F940" t="s">
        <v>109</v>
      </c>
      <c r="G940">
        <v>3</v>
      </c>
      <c r="H940">
        <v>7230.07</v>
      </c>
      <c r="I940">
        <v>0.15</v>
      </c>
      <c r="J940">
        <v>18436.68</v>
      </c>
      <c r="K940">
        <v>4168.13</v>
      </c>
      <c r="L940">
        <v>2.3</v>
      </c>
      <c r="M940" s="53">
        <v>45239</v>
      </c>
      <c r="N940" t="s">
        <v>22</v>
      </c>
      <c r="O940" t="s">
        <v>44</v>
      </c>
      <c r="P940" s="54">
        <v>0.226078122525314</v>
      </c>
    </row>
    <row r="941" spans="1:16">
      <c r="A941" t="s">
        <v>2514</v>
      </c>
      <c r="B941" t="s">
        <v>2515</v>
      </c>
      <c r="C941" t="s">
        <v>2516</v>
      </c>
      <c r="D941" t="s">
        <v>40</v>
      </c>
      <c r="E941" t="s">
        <v>41</v>
      </c>
      <c r="F941" t="s">
        <v>125</v>
      </c>
      <c r="G941">
        <v>2</v>
      </c>
      <c r="H941">
        <v>1190.62</v>
      </c>
      <c r="I941">
        <v>0.05</v>
      </c>
      <c r="J941">
        <v>2262.18</v>
      </c>
      <c r="K941">
        <v>398.28</v>
      </c>
      <c r="L941">
        <v>1.5</v>
      </c>
      <c r="M941" s="53">
        <v>45483</v>
      </c>
      <c r="N941" t="s">
        <v>56</v>
      </c>
      <c r="O941" t="s">
        <v>44</v>
      </c>
      <c r="P941" s="54">
        <v>0.176060260456728</v>
      </c>
    </row>
    <row r="942" spans="1:16">
      <c r="A942" t="s">
        <v>2517</v>
      </c>
      <c r="B942" t="s">
        <v>1146</v>
      </c>
      <c r="C942" t="s">
        <v>2518</v>
      </c>
      <c r="D942" t="s">
        <v>53</v>
      </c>
      <c r="E942" t="s">
        <v>95</v>
      </c>
      <c r="F942" t="s">
        <v>96</v>
      </c>
      <c r="G942">
        <v>2</v>
      </c>
      <c r="H942">
        <v>4573.11</v>
      </c>
      <c r="I942">
        <v>0.15</v>
      </c>
      <c r="J942">
        <v>7774.29</v>
      </c>
      <c r="K942">
        <v>1082.06</v>
      </c>
      <c r="L942">
        <v>4.6</v>
      </c>
      <c r="M942" s="53">
        <v>45055</v>
      </c>
      <c r="N942" t="s">
        <v>43</v>
      </c>
      <c r="O942" t="s">
        <v>44</v>
      </c>
      <c r="P942" s="54">
        <v>0.139184414268055</v>
      </c>
    </row>
    <row r="943" spans="1:16">
      <c r="A943" t="s">
        <v>2519</v>
      </c>
      <c r="B943" t="s">
        <v>2520</v>
      </c>
      <c r="C943" t="s">
        <v>2521</v>
      </c>
      <c r="D943" t="s">
        <v>53</v>
      </c>
      <c r="E943" t="s">
        <v>100</v>
      </c>
      <c r="F943" t="s">
        <v>229</v>
      </c>
      <c r="G943">
        <v>3</v>
      </c>
      <c r="H943">
        <v>18439.7</v>
      </c>
      <c r="I943">
        <v>0.05</v>
      </c>
      <c r="J943">
        <v>52553.15</v>
      </c>
      <c r="K943">
        <v>10724.02</v>
      </c>
      <c r="L943">
        <v>3.3</v>
      </c>
      <c r="M943" s="53">
        <v>45022</v>
      </c>
      <c r="N943" t="s">
        <v>22</v>
      </c>
      <c r="O943" t="s">
        <v>57</v>
      </c>
      <c r="P943" s="54">
        <v>0.204060460695505</v>
      </c>
    </row>
    <row r="944" spans="1:16">
      <c r="A944" t="s">
        <v>2522</v>
      </c>
      <c r="B944" t="s">
        <v>2179</v>
      </c>
      <c r="C944" t="s">
        <v>1030</v>
      </c>
      <c r="D944" t="s">
        <v>53</v>
      </c>
      <c r="E944" t="s">
        <v>71</v>
      </c>
      <c r="F944" t="s">
        <v>406</v>
      </c>
      <c r="G944">
        <v>2</v>
      </c>
      <c r="H944">
        <v>1266.53</v>
      </c>
      <c r="I944">
        <v>0</v>
      </c>
      <c r="J944">
        <v>2533.06</v>
      </c>
      <c r="K944">
        <v>165.4</v>
      </c>
      <c r="L944">
        <v>2.1</v>
      </c>
      <c r="M944" s="53">
        <v>45077</v>
      </c>
      <c r="N944" t="s">
        <v>22</v>
      </c>
      <c r="O944" t="s">
        <v>44</v>
      </c>
      <c r="P944" s="54">
        <v>0.0652965188349269</v>
      </c>
    </row>
    <row r="945" spans="1:16">
      <c r="A945" t="s">
        <v>2523</v>
      </c>
      <c r="B945" t="s">
        <v>372</v>
      </c>
      <c r="C945" t="s">
        <v>2524</v>
      </c>
      <c r="D945" t="s">
        <v>40</v>
      </c>
      <c r="E945" t="s">
        <v>262</v>
      </c>
      <c r="F945" t="s">
        <v>385</v>
      </c>
      <c r="G945">
        <v>3</v>
      </c>
      <c r="H945">
        <v>18974.09</v>
      </c>
      <c r="I945">
        <v>0.1</v>
      </c>
      <c r="J945">
        <v>51230.04</v>
      </c>
      <c r="K945">
        <v>7122.51</v>
      </c>
      <c r="L945">
        <v>1.2</v>
      </c>
      <c r="M945" s="53">
        <v>45648</v>
      </c>
      <c r="N945" t="s">
        <v>43</v>
      </c>
      <c r="O945" t="s">
        <v>44</v>
      </c>
      <c r="P945" s="54">
        <v>0.139029951957875</v>
      </c>
    </row>
    <row r="946" spans="1:16">
      <c r="A946" t="s">
        <v>2525</v>
      </c>
      <c r="B946" t="s">
        <v>519</v>
      </c>
      <c r="C946" t="s">
        <v>2526</v>
      </c>
      <c r="D946" t="s">
        <v>53</v>
      </c>
      <c r="E946" t="s">
        <v>71</v>
      </c>
      <c r="F946" t="s">
        <v>72</v>
      </c>
      <c r="G946">
        <v>5</v>
      </c>
      <c r="H946">
        <v>9721.08</v>
      </c>
      <c r="I946">
        <v>0.05</v>
      </c>
      <c r="J946">
        <v>46175.13</v>
      </c>
      <c r="K946">
        <v>3069.42</v>
      </c>
      <c r="L946">
        <v>1.9</v>
      </c>
      <c r="M946" s="53">
        <v>45044</v>
      </c>
      <c r="N946" t="s">
        <v>30</v>
      </c>
      <c r="O946" t="s">
        <v>44</v>
      </c>
      <c r="P946" s="54">
        <v>0.0664734457704829</v>
      </c>
    </row>
    <row r="947" spans="1:16">
      <c r="A947" t="s">
        <v>2527</v>
      </c>
      <c r="B947" t="s">
        <v>1199</v>
      </c>
      <c r="C947" t="s">
        <v>2528</v>
      </c>
      <c r="D947" t="s">
        <v>19</v>
      </c>
      <c r="E947" t="s">
        <v>86</v>
      </c>
      <c r="F947" t="s">
        <v>113</v>
      </c>
      <c r="G947">
        <v>5</v>
      </c>
      <c r="H947">
        <v>8955.79</v>
      </c>
      <c r="I947">
        <v>0.2</v>
      </c>
      <c r="J947">
        <v>35823.16</v>
      </c>
      <c r="K947">
        <v>7722.68</v>
      </c>
      <c r="L947">
        <v>2.6</v>
      </c>
      <c r="M947" s="53">
        <v>45634</v>
      </c>
      <c r="N947" t="s">
        <v>43</v>
      </c>
      <c r="O947" t="s">
        <v>23</v>
      </c>
      <c r="P947" s="54">
        <v>0.215577855219919</v>
      </c>
    </row>
    <row r="948" spans="1:16">
      <c r="A948" t="s">
        <v>2529</v>
      </c>
      <c r="B948" t="s">
        <v>2530</v>
      </c>
      <c r="C948" t="s">
        <v>2531</v>
      </c>
      <c r="D948" t="s">
        <v>27</v>
      </c>
      <c r="E948" t="s">
        <v>48</v>
      </c>
      <c r="F948" t="s">
        <v>49</v>
      </c>
      <c r="G948">
        <v>2</v>
      </c>
      <c r="H948">
        <v>1952.17</v>
      </c>
      <c r="I948">
        <v>0.05</v>
      </c>
      <c r="J948">
        <v>3709.12</v>
      </c>
      <c r="K948">
        <v>896.3</v>
      </c>
      <c r="L948">
        <v>1.7</v>
      </c>
      <c r="M948" s="53">
        <v>45231</v>
      </c>
      <c r="N948" t="s">
        <v>22</v>
      </c>
      <c r="O948" t="s">
        <v>44</v>
      </c>
      <c r="P948" s="54">
        <v>0.241647614528513</v>
      </c>
    </row>
    <row r="949" spans="1:16">
      <c r="A949" t="s">
        <v>2532</v>
      </c>
      <c r="B949" t="s">
        <v>2533</v>
      </c>
      <c r="C949" t="s">
        <v>2534</v>
      </c>
      <c r="D949" t="s">
        <v>27</v>
      </c>
      <c r="E949" t="s">
        <v>28</v>
      </c>
      <c r="F949" t="s">
        <v>29</v>
      </c>
      <c r="G949">
        <v>5</v>
      </c>
      <c r="H949">
        <v>8583</v>
      </c>
      <c r="I949">
        <v>0.2</v>
      </c>
      <c r="J949">
        <v>34332</v>
      </c>
      <c r="K949">
        <v>4278.3</v>
      </c>
      <c r="L949">
        <v>2.2</v>
      </c>
      <c r="M949" s="53">
        <v>45079</v>
      </c>
      <c r="N949" t="s">
        <v>22</v>
      </c>
      <c r="O949" t="s">
        <v>57</v>
      </c>
      <c r="P949" s="54">
        <v>0.124615519049284</v>
      </c>
    </row>
    <row r="950" spans="1:16">
      <c r="A950" t="s">
        <v>2535</v>
      </c>
      <c r="B950" t="s">
        <v>1074</v>
      </c>
      <c r="C950" t="s">
        <v>2536</v>
      </c>
      <c r="D950" t="s">
        <v>53</v>
      </c>
      <c r="E950" t="s">
        <v>54</v>
      </c>
      <c r="F950" t="s">
        <v>249</v>
      </c>
      <c r="G950">
        <v>1</v>
      </c>
      <c r="H950">
        <v>13539.65</v>
      </c>
      <c r="I950">
        <v>0.2</v>
      </c>
      <c r="J950">
        <v>10831.72</v>
      </c>
      <c r="K950">
        <v>1264.62</v>
      </c>
      <c r="L950">
        <v>2.5</v>
      </c>
      <c r="M950" s="53">
        <v>45215</v>
      </c>
      <c r="N950" t="s">
        <v>22</v>
      </c>
      <c r="O950" t="s">
        <v>57</v>
      </c>
      <c r="P950" s="54">
        <v>0.116751540844852</v>
      </c>
    </row>
    <row r="951" spans="1:16">
      <c r="A951" t="s">
        <v>2537</v>
      </c>
      <c r="B951" t="s">
        <v>979</v>
      </c>
      <c r="C951" t="s">
        <v>2538</v>
      </c>
      <c r="D951" t="s">
        <v>53</v>
      </c>
      <c r="E951" t="s">
        <v>95</v>
      </c>
      <c r="F951" t="s">
        <v>524</v>
      </c>
      <c r="G951">
        <v>5</v>
      </c>
      <c r="H951">
        <v>14115.45</v>
      </c>
      <c r="I951">
        <v>0</v>
      </c>
      <c r="J951">
        <v>70577.25</v>
      </c>
      <c r="K951">
        <v>6798.05</v>
      </c>
      <c r="L951">
        <v>4.6</v>
      </c>
      <c r="M951" s="53">
        <v>45287</v>
      </c>
      <c r="N951" t="s">
        <v>56</v>
      </c>
      <c r="O951" t="s">
        <v>44</v>
      </c>
      <c r="P951" s="54">
        <v>0.0963206982419973</v>
      </c>
    </row>
    <row r="952" spans="1:16">
      <c r="A952" t="s">
        <v>2539</v>
      </c>
      <c r="B952" t="s">
        <v>2479</v>
      </c>
      <c r="C952" t="s">
        <v>2540</v>
      </c>
      <c r="D952" t="s">
        <v>53</v>
      </c>
      <c r="E952" t="s">
        <v>100</v>
      </c>
      <c r="F952" t="s">
        <v>229</v>
      </c>
      <c r="G952">
        <v>2</v>
      </c>
      <c r="H952">
        <v>7323.01</v>
      </c>
      <c r="I952">
        <v>0</v>
      </c>
      <c r="J952">
        <v>14646.02</v>
      </c>
      <c r="K952">
        <v>3070.39</v>
      </c>
      <c r="L952">
        <v>3</v>
      </c>
      <c r="M952" s="53">
        <v>45332</v>
      </c>
      <c r="N952" t="s">
        <v>56</v>
      </c>
      <c r="O952" t="s">
        <v>44</v>
      </c>
      <c r="P952" s="54">
        <v>0.209639888515788</v>
      </c>
    </row>
    <row r="953" spans="1:16">
      <c r="A953" t="s">
        <v>2541</v>
      </c>
      <c r="B953" t="s">
        <v>2542</v>
      </c>
      <c r="C953" t="s">
        <v>2543</v>
      </c>
      <c r="D953" t="s">
        <v>40</v>
      </c>
      <c r="E953" t="s">
        <v>262</v>
      </c>
      <c r="F953" t="s">
        <v>263</v>
      </c>
      <c r="G953">
        <v>3</v>
      </c>
      <c r="H953">
        <v>13906.13</v>
      </c>
      <c r="I953">
        <v>0</v>
      </c>
      <c r="J953">
        <v>41718.39</v>
      </c>
      <c r="K953">
        <v>10277.28</v>
      </c>
      <c r="L953">
        <v>2.8</v>
      </c>
      <c r="M953" s="53">
        <v>44965</v>
      </c>
      <c r="N953" t="s">
        <v>30</v>
      </c>
      <c r="O953" t="s">
        <v>23</v>
      </c>
      <c r="P953" s="54">
        <v>0.24634891231421</v>
      </c>
    </row>
    <row r="954" spans="1:16">
      <c r="A954" t="s">
        <v>2544</v>
      </c>
      <c r="B954" t="s">
        <v>2545</v>
      </c>
      <c r="C954" t="s">
        <v>2546</v>
      </c>
      <c r="D954" t="s">
        <v>27</v>
      </c>
      <c r="E954" t="s">
        <v>117</v>
      </c>
      <c r="F954" t="s">
        <v>225</v>
      </c>
      <c r="G954">
        <v>4</v>
      </c>
      <c r="H954">
        <v>11836.4</v>
      </c>
      <c r="I954">
        <v>0</v>
      </c>
      <c r="J954">
        <v>47345.6</v>
      </c>
      <c r="K954">
        <v>10656.05</v>
      </c>
      <c r="L954">
        <v>4.2</v>
      </c>
      <c r="M954" s="53">
        <v>44980</v>
      </c>
      <c r="N954" t="s">
        <v>22</v>
      </c>
      <c r="O954" t="s">
        <v>44</v>
      </c>
      <c r="P954" s="54">
        <v>0.225069489033828</v>
      </c>
    </row>
    <row r="955" spans="1:16">
      <c r="A955" t="s">
        <v>2547</v>
      </c>
      <c r="B955" t="s">
        <v>826</v>
      </c>
      <c r="C955" t="s">
        <v>2548</v>
      </c>
      <c r="D955" t="s">
        <v>19</v>
      </c>
      <c r="E955" t="s">
        <v>35</v>
      </c>
      <c r="F955" t="s">
        <v>245</v>
      </c>
      <c r="G955">
        <v>1</v>
      </c>
      <c r="H955">
        <v>5494.7</v>
      </c>
      <c r="I955">
        <v>0.1</v>
      </c>
      <c r="J955">
        <v>4945.23</v>
      </c>
      <c r="K955">
        <v>1152.26</v>
      </c>
      <c r="L955">
        <v>1.7</v>
      </c>
      <c r="M955" s="53">
        <v>45626</v>
      </c>
      <c r="N955" t="s">
        <v>43</v>
      </c>
      <c r="O955" t="s">
        <v>57</v>
      </c>
      <c r="P955" s="54">
        <v>0.233004329424516</v>
      </c>
    </row>
    <row r="956" spans="1:16">
      <c r="A956" t="s">
        <v>2549</v>
      </c>
      <c r="B956" t="s">
        <v>2550</v>
      </c>
      <c r="C956" t="s">
        <v>2551</v>
      </c>
      <c r="D956" t="s">
        <v>19</v>
      </c>
      <c r="E956" t="s">
        <v>20</v>
      </c>
      <c r="F956" t="s">
        <v>21</v>
      </c>
      <c r="G956">
        <v>4</v>
      </c>
      <c r="H956">
        <v>14499.28</v>
      </c>
      <c r="I956">
        <v>0</v>
      </c>
      <c r="J956">
        <v>57997.12</v>
      </c>
      <c r="K956">
        <v>9659.9</v>
      </c>
      <c r="L956">
        <v>2.4</v>
      </c>
      <c r="M956" s="53">
        <v>45535</v>
      </c>
      <c r="N956" t="s">
        <v>43</v>
      </c>
      <c r="O956" t="s">
        <v>23</v>
      </c>
      <c r="P956" s="54">
        <v>0.166558270479638</v>
      </c>
    </row>
    <row r="957" spans="1:16">
      <c r="A957" t="s">
        <v>2552</v>
      </c>
      <c r="B957" t="s">
        <v>2553</v>
      </c>
      <c r="C957" t="s">
        <v>2554</v>
      </c>
      <c r="D957" t="s">
        <v>40</v>
      </c>
      <c r="E957" t="s">
        <v>41</v>
      </c>
      <c r="F957" t="s">
        <v>91</v>
      </c>
      <c r="G957">
        <v>4</v>
      </c>
      <c r="H957">
        <v>5422.66</v>
      </c>
      <c r="I957">
        <v>0.05</v>
      </c>
      <c r="J957">
        <v>20606.11</v>
      </c>
      <c r="K957">
        <v>3344.93</v>
      </c>
      <c r="L957">
        <v>2.5</v>
      </c>
      <c r="M957" s="53">
        <v>45046</v>
      </c>
      <c r="N957" t="s">
        <v>22</v>
      </c>
      <c r="O957" t="s">
        <v>44</v>
      </c>
      <c r="P957" s="54">
        <v>0.162327096186519</v>
      </c>
    </row>
    <row r="958" spans="1:16">
      <c r="A958" t="s">
        <v>2555</v>
      </c>
      <c r="B958" t="s">
        <v>2556</v>
      </c>
      <c r="C958" t="s">
        <v>2145</v>
      </c>
      <c r="D958" t="s">
        <v>27</v>
      </c>
      <c r="E958" t="s">
        <v>28</v>
      </c>
      <c r="F958" t="s">
        <v>29</v>
      </c>
      <c r="G958">
        <v>3</v>
      </c>
      <c r="H958">
        <v>5420.48</v>
      </c>
      <c r="I958">
        <v>0.1</v>
      </c>
      <c r="J958">
        <v>14635.3</v>
      </c>
      <c r="K958">
        <v>3070.27</v>
      </c>
      <c r="L958">
        <v>2.6</v>
      </c>
      <c r="M958" s="53">
        <v>45491</v>
      </c>
      <c r="N958" t="s">
        <v>43</v>
      </c>
      <c r="O958" t="s">
        <v>44</v>
      </c>
      <c r="P958" s="54">
        <v>0.209785245263165</v>
      </c>
    </row>
    <row r="959" spans="1:16">
      <c r="A959" t="s">
        <v>2557</v>
      </c>
      <c r="B959" t="s">
        <v>2558</v>
      </c>
      <c r="C959" t="s">
        <v>2559</v>
      </c>
      <c r="D959" t="s">
        <v>19</v>
      </c>
      <c r="E959" t="s">
        <v>129</v>
      </c>
      <c r="F959" t="s">
        <v>167</v>
      </c>
      <c r="G959">
        <v>4</v>
      </c>
      <c r="H959">
        <v>749.93</v>
      </c>
      <c r="I959">
        <v>0.1</v>
      </c>
      <c r="J959">
        <v>2699.75</v>
      </c>
      <c r="K959">
        <v>660.41</v>
      </c>
      <c r="L959">
        <v>4.1</v>
      </c>
      <c r="M959" s="53">
        <v>45445</v>
      </c>
      <c r="N959" t="s">
        <v>30</v>
      </c>
      <c r="O959" t="s">
        <v>73</v>
      </c>
      <c r="P959" s="54">
        <v>0.244618946198722</v>
      </c>
    </row>
    <row r="960" spans="1:16">
      <c r="A960" t="s">
        <v>2560</v>
      </c>
      <c r="B960" t="s">
        <v>633</v>
      </c>
      <c r="C960" t="s">
        <v>2561</v>
      </c>
      <c r="D960" t="s">
        <v>53</v>
      </c>
      <c r="E960" t="s">
        <v>54</v>
      </c>
      <c r="F960" t="s">
        <v>258</v>
      </c>
      <c r="G960">
        <v>4</v>
      </c>
      <c r="H960">
        <v>13140.24</v>
      </c>
      <c r="I960">
        <v>0.2</v>
      </c>
      <c r="J960">
        <v>42048.77</v>
      </c>
      <c r="K960">
        <v>6569.6</v>
      </c>
      <c r="L960">
        <v>3.7</v>
      </c>
      <c r="M960" s="53">
        <v>45362</v>
      </c>
      <c r="N960" t="s">
        <v>22</v>
      </c>
      <c r="O960" t="s">
        <v>57</v>
      </c>
      <c r="P960" s="54">
        <v>0.156237625975742</v>
      </c>
    </row>
    <row r="961" spans="1:16">
      <c r="A961" t="s">
        <v>2562</v>
      </c>
      <c r="B961" t="s">
        <v>984</v>
      </c>
      <c r="C961" t="s">
        <v>2563</v>
      </c>
      <c r="D961" t="s">
        <v>40</v>
      </c>
      <c r="E961" t="s">
        <v>81</v>
      </c>
      <c r="F961" t="s">
        <v>82</v>
      </c>
      <c r="G961">
        <v>4</v>
      </c>
      <c r="H961">
        <v>8043.76</v>
      </c>
      <c r="I961">
        <v>0.15</v>
      </c>
      <c r="J961">
        <v>27348.78</v>
      </c>
      <c r="K961">
        <v>1776.32</v>
      </c>
      <c r="L961">
        <v>4.8</v>
      </c>
      <c r="M961" s="53">
        <v>44940</v>
      </c>
      <c r="N961" t="s">
        <v>22</v>
      </c>
      <c r="O961" t="s">
        <v>44</v>
      </c>
      <c r="P961" s="54">
        <v>0.0649506120565524</v>
      </c>
    </row>
    <row r="962" spans="1:16">
      <c r="A962" t="s">
        <v>2564</v>
      </c>
      <c r="B962" t="s">
        <v>633</v>
      </c>
      <c r="C962" t="s">
        <v>2565</v>
      </c>
      <c r="D962" t="s">
        <v>27</v>
      </c>
      <c r="E962" t="s">
        <v>48</v>
      </c>
      <c r="F962" t="s">
        <v>49</v>
      </c>
      <c r="G962">
        <v>5</v>
      </c>
      <c r="H962">
        <v>16320.14</v>
      </c>
      <c r="I962">
        <v>0.1</v>
      </c>
      <c r="J962">
        <v>73440.63</v>
      </c>
      <c r="K962">
        <v>4355.75</v>
      </c>
      <c r="L962">
        <v>2.4</v>
      </c>
      <c r="M962" s="53">
        <v>45610</v>
      </c>
      <c r="N962" t="s">
        <v>43</v>
      </c>
      <c r="O962" t="s">
        <v>57</v>
      </c>
      <c r="P962" s="54">
        <v>0.0593098125656057</v>
      </c>
    </row>
    <row r="963" spans="1:16">
      <c r="A963" t="s">
        <v>2566</v>
      </c>
      <c r="B963" t="s">
        <v>1309</v>
      </c>
      <c r="C963" t="s">
        <v>2567</v>
      </c>
      <c r="D963" t="s">
        <v>27</v>
      </c>
      <c r="E963" t="s">
        <v>48</v>
      </c>
      <c r="F963" t="s">
        <v>49</v>
      </c>
      <c r="G963">
        <v>4</v>
      </c>
      <c r="H963">
        <v>14898.88</v>
      </c>
      <c r="I963">
        <v>0.05</v>
      </c>
      <c r="J963">
        <v>56615.74</v>
      </c>
      <c r="K963">
        <v>10711.65</v>
      </c>
      <c r="L963">
        <v>2.6</v>
      </c>
      <c r="M963" s="53">
        <v>45274</v>
      </c>
      <c r="N963" t="s">
        <v>43</v>
      </c>
      <c r="O963" t="s">
        <v>57</v>
      </c>
      <c r="P963" s="54">
        <v>0.189199152037932</v>
      </c>
    </row>
    <row r="964" spans="1:16">
      <c r="A964" t="s">
        <v>2568</v>
      </c>
      <c r="B964" t="s">
        <v>2289</v>
      </c>
      <c r="C964" t="s">
        <v>2569</v>
      </c>
      <c r="D964" t="s">
        <v>27</v>
      </c>
      <c r="E964" t="s">
        <v>28</v>
      </c>
      <c r="F964" t="s">
        <v>225</v>
      </c>
      <c r="G964">
        <v>2</v>
      </c>
      <c r="H964">
        <v>8968.62</v>
      </c>
      <c r="I964">
        <v>0.15</v>
      </c>
      <c r="J964">
        <v>15246.65</v>
      </c>
      <c r="K964">
        <v>835.51</v>
      </c>
      <c r="L964">
        <v>4.6</v>
      </c>
      <c r="M964" s="53">
        <v>45005</v>
      </c>
      <c r="N964" t="s">
        <v>22</v>
      </c>
      <c r="O964" t="s">
        <v>23</v>
      </c>
      <c r="P964" s="54">
        <v>0.0547995789238948</v>
      </c>
    </row>
    <row r="965" spans="1:16">
      <c r="A965" t="s">
        <v>2570</v>
      </c>
      <c r="B965" t="s">
        <v>2571</v>
      </c>
      <c r="C965" t="s">
        <v>2572</v>
      </c>
      <c r="D965" t="s">
        <v>53</v>
      </c>
      <c r="E965" t="s">
        <v>95</v>
      </c>
      <c r="F965" t="s">
        <v>524</v>
      </c>
      <c r="G965">
        <v>4</v>
      </c>
      <c r="H965">
        <v>1268.06</v>
      </c>
      <c r="I965">
        <v>0.2</v>
      </c>
      <c r="J965">
        <v>4057.79</v>
      </c>
      <c r="K965">
        <v>253.54</v>
      </c>
      <c r="L965">
        <v>3.6</v>
      </c>
      <c r="M965" s="53">
        <v>45061</v>
      </c>
      <c r="N965" t="s">
        <v>56</v>
      </c>
      <c r="O965" t="s">
        <v>57</v>
      </c>
      <c r="P965" s="54">
        <v>0.0624822871563092</v>
      </c>
    </row>
    <row r="966" spans="1:16">
      <c r="A966" t="s">
        <v>2573</v>
      </c>
      <c r="B966" t="s">
        <v>1211</v>
      </c>
      <c r="C966" t="s">
        <v>2574</v>
      </c>
      <c r="D966" t="s">
        <v>19</v>
      </c>
      <c r="E966" t="s">
        <v>86</v>
      </c>
      <c r="F966" t="s">
        <v>87</v>
      </c>
      <c r="G966">
        <v>4</v>
      </c>
      <c r="H966">
        <v>2040.73</v>
      </c>
      <c r="I966">
        <v>0.05</v>
      </c>
      <c r="J966">
        <v>7754.77</v>
      </c>
      <c r="K966">
        <v>863.03</v>
      </c>
      <c r="L966">
        <v>3.9</v>
      </c>
      <c r="M966" s="53">
        <v>45434</v>
      </c>
      <c r="N966" t="s">
        <v>56</v>
      </c>
      <c r="O966" t="s">
        <v>73</v>
      </c>
      <c r="P966" s="54">
        <v>0.111290212346723</v>
      </c>
    </row>
    <row r="967" spans="1:16">
      <c r="A967" t="s">
        <v>2575</v>
      </c>
      <c r="B967" t="s">
        <v>2576</v>
      </c>
      <c r="C967" t="s">
        <v>2577</v>
      </c>
      <c r="D967" t="s">
        <v>40</v>
      </c>
      <c r="E967" t="s">
        <v>262</v>
      </c>
      <c r="F967" t="s">
        <v>773</v>
      </c>
      <c r="G967">
        <v>5</v>
      </c>
      <c r="H967">
        <v>18761.2</v>
      </c>
      <c r="I967">
        <v>0.15</v>
      </c>
      <c r="J967">
        <v>79735.1</v>
      </c>
      <c r="K967">
        <v>8163</v>
      </c>
      <c r="L967">
        <v>4.7</v>
      </c>
      <c r="M967" s="53">
        <v>45180</v>
      </c>
      <c r="N967" t="s">
        <v>22</v>
      </c>
      <c r="O967" t="s">
        <v>23</v>
      </c>
      <c r="P967" s="54">
        <v>0.102376494166308</v>
      </c>
    </row>
    <row r="968" spans="1:16">
      <c r="A968" t="s">
        <v>2578</v>
      </c>
      <c r="B968" t="s">
        <v>1992</v>
      </c>
      <c r="C968" t="s">
        <v>2579</v>
      </c>
      <c r="D968" t="s">
        <v>19</v>
      </c>
      <c r="E968" t="s">
        <v>86</v>
      </c>
      <c r="F968" t="s">
        <v>87</v>
      </c>
      <c r="G968">
        <v>2</v>
      </c>
      <c r="H968">
        <v>5850.36</v>
      </c>
      <c r="I968">
        <v>0.1</v>
      </c>
      <c r="J968">
        <v>10530.65</v>
      </c>
      <c r="K968">
        <v>1959.47</v>
      </c>
      <c r="L968">
        <v>2.9</v>
      </c>
      <c r="M968" s="53">
        <v>45202</v>
      </c>
      <c r="N968" t="s">
        <v>56</v>
      </c>
      <c r="O968" t="s">
        <v>57</v>
      </c>
      <c r="P968" s="54">
        <v>0.186073034428074</v>
      </c>
    </row>
    <row r="969" spans="1:16">
      <c r="A969" t="s">
        <v>2580</v>
      </c>
      <c r="B969" t="s">
        <v>2581</v>
      </c>
      <c r="C969" t="s">
        <v>2582</v>
      </c>
      <c r="D969" t="s">
        <v>40</v>
      </c>
      <c r="E969" t="s">
        <v>262</v>
      </c>
      <c r="F969" t="s">
        <v>263</v>
      </c>
      <c r="G969">
        <v>3</v>
      </c>
      <c r="H969">
        <v>16640.16</v>
      </c>
      <c r="I969">
        <v>0.05</v>
      </c>
      <c r="J969">
        <v>47424.46</v>
      </c>
      <c r="K969">
        <v>9676.82</v>
      </c>
      <c r="L969">
        <v>4.6</v>
      </c>
      <c r="M969" s="53">
        <v>45544</v>
      </c>
      <c r="N969" t="s">
        <v>43</v>
      </c>
      <c r="O969" t="s">
        <v>73</v>
      </c>
      <c r="P969" s="54">
        <v>0.204047025522273</v>
      </c>
    </row>
    <row r="970" spans="1:16">
      <c r="A970" t="s">
        <v>2583</v>
      </c>
      <c r="B970" t="s">
        <v>645</v>
      </c>
      <c r="C970" t="s">
        <v>2584</v>
      </c>
      <c r="D970" t="s">
        <v>53</v>
      </c>
      <c r="E970" t="s">
        <v>95</v>
      </c>
      <c r="F970" t="s">
        <v>306</v>
      </c>
      <c r="G970">
        <v>3</v>
      </c>
      <c r="H970">
        <v>1634.96</v>
      </c>
      <c r="I970">
        <v>0.1</v>
      </c>
      <c r="J970">
        <v>4414.39</v>
      </c>
      <c r="K970">
        <v>810.12</v>
      </c>
      <c r="L970">
        <v>3.3</v>
      </c>
      <c r="M970" s="53">
        <v>45569</v>
      </c>
      <c r="N970" t="s">
        <v>43</v>
      </c>
      <c r="O970" t="s">
        <v>44</v>
      </c>
      <c r="P970" s="54">
        <v>0.183517994558705</v>
      </c>
    </row>
    <row r="971" spans="1:16">
      <c r="A971" t="s">
        <v>2585</v>
      </c>
      <c r="B971" t="s">
        <v>2586</v>
      </c>
      <c r="C971" t="s">
        <v>2587</v>
      </c>
      <c r="D971" t="s">
        <v>27</v>
      </c>
      <c r="E971" t="s">
        <v>117</v>
      </c>
      <c r="F971" t="s">
        <v>505</v>
      </c>
      <c r="G971">
        <v>1</v>
      </c>
      <c r="H971">
        <v>6827.83</v>
      </c>
      <c r="I971">
        <v>0.15</v>
      </c>
      <c r="J971">
        <v>5803.66</v>
      </c>
      <c r="K971">
        <v>1073.76</v>
      </c>
      <c r="L971">
        <v>1.6</v>
      </c>
      <c r="M971" s="53">
        <v>45638</v>
      </c>
      <c r="N971" t="s">
        <v>30</v>
      </c>
      <c r="O971" t="s">
        <v>57</v>
      </c>
      <c r="P971" s="54">
        <v>0.185014284089695</v>
      </c>
    </row>
    <row r="972" spans="1:16">
      <c r="A972" t="s">
        <v>2588</v>
      </c>
      <c r="B972" t="s">
        <v>2589</v>
      </c>
      <c r="C972" t="s">
        <v>2590</v>
      </c>
      <c r="D972" t="s">
        <v>27</v>
      </c>
      <c r="E972" t="s">
        <v>48</v>
      </c>
      <c r="F972" t="s">
        <v>77</v>
      </c>
      <c r="G972">
        <v>4</v>
      </c>
      <c r="H972">
        <v>7434.63</v>
      </c>
      <c r="I972">
        <v>0.15</v>
      </c>
      <c r="J972">
        <v>25277.74</v>
      </c>
      <c r="K972">
        <v>1753.61</v>
      </c>
      <c r="L972">
        <v>4.4</v>
      </c>
      <c r="M972" s="53">
        <v>45392</v>
      </c>
      <c r="N972" t="s">
        <v>43</v>
      </c>
      <c r="O972" t="s">
        <v>57</v>
      </c>
      <c r="P972" s="54">
        <v>0.0693736860969375</v>
      </c>
    </row>
    <row r="973" spans="1:16">
      <c r="A973" t="s">
        <v>2591</v>
      </c>
      <c r="B973" t="s">
        <v>2592</v>
      </c>
      <c r="C973" t="s">
        <v>2593</v>
      </c>
      <c r="D973" t="s">
        <v>19</v>
      </c>
      <c r="E973" t="s">
        <v>86</v>
      </c>
      <c r="F973" t="s">
        <v>182</v>
      </c>
      <c r="G973">
        <v>1</v>
      </c>
      <c r="H973">
        <v>11912.09</v>
      </c>
      <c r="I973">
        <v>0.2</v>
      </c>
      <c r="J973">
        <v>9529.67</v>
      </c>
      <c r="K973">
        <v>1771.89</v>
      </c>
      <c r="L973">
        <v>2.7</v>
      </c>
      <c r="M973" s="53">
        <v>45513</v>
      </c>
      <c r="N973" t="s">
        <v>43</v>
      </c>
      <c r="O973" t="s">
        <v>31</v>
      </c>
      <c r="P973" s="54">
        <v>0.185934035491261</v>
      </c>
    </row>
    <row r="974" spans="1:16">
      <c r="A974" t="s">
        <v>2594</v>
      </c>
      <c r="B974" t="s">
        <v>2595</v>
      </c>
      <c r="C974" t="s">
        <v>1660</v>
      </c>
      <c r="D974" t="s">
        <v>40</v>
      </c>
      <c r="E974" t="s">
        <v>41</v>
      </c>
      <c r="F974" t="s">
        <v>125</v>
      </c>
      <c r="G974">
        <v>1</v>
      </c>
      <c r="H974">
        <v>13869.24</v>
      </c>
      <c r="I974">
        <v>0.15</v>
      </c>
      <c r="J974">
        <v>11788.85</v>
      </c>
      <c r="K974">
        <v>2863.59</v>
      </c>
      <c r="L974">
        <v>1.2</v>
      </c>
      <c r="M974" s="53">
        <v>45621</v>
      </c>
      <c r="N974" t="s">
        <v>22</v>
      </c>
      <c r="O974" t="s">
        <v>23</v>
      </c>
      <c r="P974" s="54">
        <v>0.242906644838131</v>
      </c>
    </row>
    <row r="975" spans="1:16">
      <c r="A975" t="s">
        <v>2596</v>
      </c>
      <c r="B975" t="s">
        <v>33</v>
      </c>
      <c r="C975" t="s">
        <v>2597</v>
      </c>
      <c r="D975" t="s">
        <v>27</v>
      </c>
      <c r="E975" t="s">
        <v>48</v>
      </c>
      <c r="F975" t="s">
        <v>77</v>
      </c>
      <c r="G975">
        <v>2</v>
      </c>
      <c r="H975">
        <v>10322.41</v>
      </c>
      <c r="I975">
        <v>0.1</v>
      </c>
      <c r="J975">
        <v>18580.34</v>
      </c>
      <c r="K975">
        <v>3471.1</v>
      </c>
      <c r="L975">
        <v>1.3</v>
      </c>
      <c r="M975" s="53">
        <v>45618</v>
      </c>
      <c r="N975" t="s">
        <v>30</v>
      </c>
      <c r="O975" t="s">
        <v>57</v>
      </c>
      <c r="P975" s="54">
        <v>0.186815741800204</v>
      </c>
    </row>
    <row r="976" spans="1:16">
      <c r="A976" t="s">
        <v>2598</v>
      </c>
      <c r="B976" t="s">
        <v>51</v>
      </c>
      <c r="C976" t="s">
        <v>2599</v>
      </c>
      <c r="D976" t="s">
        <v>53</v>
      </c>
      <c r="E976" t="s">
        <v>54</v>
      </c>
      <c r="F976" t="s">
        <v>55</v>
      </c>
      <c r="G976">
        <v>3</v>
      </c>
      <c r="H976">
        <v>15001.79</v>
      </c>
      <c r="I976">
        <v>0.05</v>
      </c>
      <c r="J976">
        <v>42755.1</v>
      </c>
      <c r="K976">
        <v>2486.28</v>
      </c>
      <c r="L976">
        <v>3.1</v>
      </c>
      <c r="M976" s="53">
        <v>45348</v>
      </c>
      <c r="N976" t="s">
        <v>22</v>
      </c>
      <c r="O976" t="s">
        <v>23</v>
      </c>
      <c r="P976" s="54">
        <v>0.0581516591003179</v>
      </c>
    </row>
    <row r="977" spans="1:16">
      <c r="A977" t="s">
        <v>2600</v>
      </c>
      <c r="B977" t="s">
        <v>1169</v>
      </c>
      <c r="C977" t="s">
        <v>2601</v>
      </c>
      <c r="D977" t="s">
        <v>40</v>
      </c>
      <c r="E977" t="s">
        <v>262</v>
      </c>
      <c r="F977" t="s">
        <v>345</v>
      </c>
      <c r="G977">
        <v>3</v>
      </c>
      <c r="H977">
        <v>11245.12</v>
      </c>
      <c r="I977">
        <v>0.1</v>
      </c>
      <c r="J977">
        <v>30361.82</v>
      </c>
      <c r="K977">
        <v>1905.1</v>
      </c>
      <c r="L977">
        <v>2.8</v>
      </c>
      <c r="M977" s="53">
        <v>45306</v>
      </c>
      <c r="N977" t="s">
        <v>43</v>
      </c>
      <c r="O977" t="s">
        <v>44</v>
      </c>
      <c r="P977" s="54">
        <v>0.0627465678934925</v>
      </c>
    </row>
    <row r="978" spans="1:16">
      <c r="A978" t="s">
        <v>2602</v>
      </c>
      <c r="B978" t="s">
        <v>889</v>
      </c>
      <c r="C978" t="s">
        <v>2603</v>
      </c>
      <c r="D978" t="s">
        <v>19</v>
      </c>
      <c r="E978" t="s">
        <v>20</v>
      </c>
      <c r="F978" t="s">
        <v>21</v>
      </c>
      <c r="G978">
        <v>2</v>
      </c>
      <c r="H978">
        <v>982.39</v>
      </c>
      <c r="I978">
        <v>0.2</v>
      </c>
      <c r="J978">
        <v>1571.82</v>
      </c>
      <c r="K978">
        <v>207.51</v>
      </c>
      <c r="L978">
        <v>4.8</v>
      </c>
      <c r="M978" s="53">
        <v>44929</v>
      </c>
      <c r="N978" t="s">
        <v>30</v>
      </c>
      <c r="O978" t="s">
        <v>23</v>
      </c>
      <c r="P978" s="54">
        <v>0.132018933465664</v>
      </c>
    </row>
    <row r="979" spans="1:16">
      <c r="A979" t="s">
        <v>2604</v>
      </c>
      <c r="B979" t="s">
        <v>1556</v>
      </c>
      <c r="C979" t="s">
        <v>221</v>
      </c>
      <c r="D979" t="s">
        <v>27</v>
      </c>
      <c r="E979" t="s">
        <v>117</v>
      </c>
      <c r="F979" t="s">
        <v>118</v>
      </c>
      <c r="G979">
        <v>4</v>
      </c>
      <c r="H979">
        <v>19999.88</v>
      </c>
      <c r="I979">
        <v>0.15</v>
      </c>
      <c r="J979">
        <v>67999.59</v>
      </c>
      <c r="K979">
        <v>15970.3</v>
      </c>
      <c r="L979">
        <v>3</v>
      </c>
      <c r="M979" s="53">
        <v>44932</v>
      </c>
      <c r="N979" t="s">
        <v>30</v>
      </c>
      <c r="O979" t="s">
        <v>57</v>
      </c>
      <c r="P979" s="54">
        <v>0.234858769001401</v>
      </c>
    </row>
    <row r="980" spans="1:16">
      <c r="A980" t="s">
        <v>2605</v>
      </c>
      <c r="B980" t="s">
        <v>2435</v>
      </c>
      <c r="C980" t="s">
        <v>2606</v>
      </c>
      <c r="D980" t="s">
        <v>27</v>
      </c>
      <c r="E980" t="s">
        <v>117</v>
      </c>
      <c r="F980" t="s">
        <v>192</v>
      </c>
      <c r="G980">
        <v>4</v>
      </c>
      <c r="H980">
        <v>10467.79</v>
      </c>
      <c r="I980">
        <v>0.1</v>
      </c>
      <c r="J980">
        <v>37684.04</v>
      </c>
      <c r="K980">
        <v>3152.71</v>
      </c>
      <c r="L980">
        <v>1.5</v>
      </c>
      <c r="M980" s="53">
        <v>45360</v>
      </c>
      <c r="N980" t="s">
        <v>30</v>
      </c>
      <c r="O980" t="s">
        <v>57</v>
      </c>
      <c r="P980" s="54">
        <v>0.0836616774634567</v>
      </c>
    </row>
    <row r="981" spans="1:16">
      <c r="A981" t="s">
        <v>2607</v>
      </c>
      <c r="B981" t="s">
        <v>2608</v>
      </c>
      <c r="C981" t="s">
        <v>1842</v>
      </c>
      <c r="D981" t="s">
        <v>27</v>
      </c>
      <c r="E981" t="s">
        <v>233</v>
      </c>
      <c r="F981" t="s">
        <v>234</v>
      </c>
      <c r="G981">
        <v>1</v>
      </c>
      <c r="H981">
        <v>12828.48</v>
      </c>
      <c r="I981">
        <v>0.15</v>
      </c>
      <c r="J981">
        <v>10904.21</v>
      </c>
      <c r="K981">
        <v>2378.52</v>
      </c>
      <c r="L981">
        <v>2.6</v>
      </c>
      <c r="M981" s="53">
        <v>44981</v>
      </c>
      <c r="N981" t="s">
        <v>56</v>
      </c>
      <c r="O981" t="s">
        <v>57</v>
      </c>
      <c r="P981" s="54">
        <v>0.218128594368597</v>
      </c>
    </row>
    <row r="982" spans="1:16">
      <c r="A982" t="s">
        <v>2609</v>
      </c>
      <c r="B982" t="s">
        <v>2610</v>
      </c>
      <c r="C982" t="s">
        <v>2611</v>
      </c>
      <c r="D982" t="s">
        <v>27</v>
      </c>
      <c r="E982" t="s">
        <v>48</v>
      </c>
      <c r="F982" t="s">
        <v>49</v>
      </c>
      <c r="G982">
        <v>3</v>
      </c>
      <c r="H982">
        <v>4677.47</v>
      </c>
      <c r="I982">
        <v>0.2</v>
      </c>
      <c r="J982">
        <v>11225.93</v>
      </c>
      <c r="K982">
        <v>765.96</v>
      </c>
      <c r="L982">
        <v>4.3</v>
      </c>
      <c r="M982" s="53">
        <v>45579</v>
      </c>
      <c r="N982" t="s">
        <v>56</v>
      </c>
      <c r="O982" t="s">
        <v>73</v>
      </c>
      <c r="P982" s="54">
        <v>0.0682313180288849</v>
      </c>
    </row>
    <row r="983" spans="1:16">
      <c r="A983" t="s">
        <v>2612</v>
      </c>
      <c r="B983" t="s">
        <v>984</v>
      </c>
      <c r="C983" t="s">
        <v>2613</v>
      </c>
      <c r="D983" t="s">
        <v>27</v>
      </c>
      <c r="E983" t="s">
        <v>117</v>
      </c>
      <c r="F983" t="s">
        <v>225</v>
      </c>
      <c r="G983">
        <v>4</v>
      </c>
      <c r="H983">
        <v>10645.52</v>
      </c>
      <c r="I983">
        <v>0.05</v>
      </c>
      <c r="J983">
        <v>40452.98</v>
      </c>
      <c r="K983">
        <v>8166.79</v>
      </c>
      <c r="L983">
        <v>4.4</v>
      </c>
      <c r="M983" s="53">
        <v>45147</v>
      </c>
      <c r="N983" t="s">
        <v>43</v>
      </c>
      <c r="O983" t="s">
        <v>23</v>
      </c>
      <c r="P983" s="54">
        <v>0.201883520076889</v>
      </c>
    </row>
    <row r="984" spans="1:16">
      <c r="A984" t="s">
        <v>2614</v>
      </c>
      <c r="B984" t="s">
        <v>962</v>
      </c>
      <c r="C984" t="s">
        <v>2615</v>
      </c>
      <c r="D984" t="s">
        <v>53</v>
      </c>
      <c r="E984" t="s">
        <v>71</v>
      </c>
      <c r="F984" t="s">
        <v>150</v>
      </c>
      <c r="G984">
        <v>1</v>
      </c>
      <c r="H984">
        <v>14378.29</v>
      </c>
      <c r="I984">
        <v>0.05</v>
      </c>
      <c r="J984">
        <v>13659.38</v>
      </c>
      <c r="K984">
        <v>2226.6</v>
      </c>
      <c r="L984">
        <v>4</v>
      </c>
      <c r="M984" s="53">
        <v>45353</v>
      </c>
      <c r="N984" t="s">
        <v>56</v>
      </c>
      <c r="O984" t="s">
        <v>57</v>
      </c>
      <c r="P984" s="54">
        <v>0.163008862774152</v>
      </c>
    </row>
    <row r="985" spans="1:16">
      <c r="A985" t="s">
        <v>2616</v>
      </c>
      <c r="B985" t="s">
        <v>2617</v>
      </c>
      <c r="C985" t="s">
        <v>2618</v>
      </c>
      <c r="D985" t="s">
        <v>19</v>
      </c>
      <c r="E985" t="s">
        <v>20</v>
      </c>
      <c r="F985" t="s">
        <v>121</v>
      </c>
      <c r="G985">
        <v>3</v>
      </c>
      <c r="H985">
        <v>4596.88</v>
      </c>
      <c r="I985">
        <v>0</v>
      </c>
      <c r="J985">
        <v>13790.64</v>
      </c>
      <c r="K985">
        <v>2572.93</v>
      </c>
      <c r="L985">
        <v>1.5</v>
      </c>
      <c r="M985" s="53">
        <v>45217</v>
      </c>
      <c r="N985" t="s">
        <v>22</v>
      </c>
      <c r="O985" t="s">
        <v>23</v>
      </c>
      <c r="P985" s="54">
        <v>0.186570746535331</v>
      </c>
    </row>
    <row r="986" spans="1:16">
      <c r="A986" t="s">
        <v>2619</v>
      </c>
      <c r="B986" t="s">
        <v>2620</v>
      </c>
      <c r="C986" t="s">
        <v>2621</v>
      </c>
      <c r="D986" t="s">
        <v>27</v>
      </c>
      <c r="E986" t="s">
        <v>48</v>
      </c>
      <c r="F986" t="s">
        <v>49</v>
      </c>
      <c r="G986">
        <v>2</v>
      </c>
      <c r="H986">
        <v>9408.73</v>
      </c>
      <c r="I986">
        <v>0.2</v>
      </c>
      <c r="J986">
        <v>15053.97</v>
      </c>
      <c r="K986">
        <v>773.72</v>
      </c>
      <c r="L986">
        <v>4.3</v>
      </c>
      <c r="M986" s="53">
        <v>45294</v>
      </c>
      <c r="N986" t="s">
        <v>30</v>
      </c>
      <c r="O986" t="s">
        <v>31</v>
      </c>
      <c r="P986" s="54">
        <v>0.0513964090535586</v>
      </c>
    </row>
    <row r="987" spans="1:16">
      <c r="A987" t="s">
        <v>2622</v>
      </c>
      <c r="B987" t="s">
        <v>2623</v>
      </c>
      <c r="C987" t="s">
        <v>2148</v>
      </c>
      <c r="D987" t="s">
        <v>40</v>
      </c>
      <c r="E987" t="s">
        <v>174</v>
      </c>
      <c r="F987" t="s">
        <v>199</v>
      </c>
      <c r="G987">
        <v>4</v>
      </c>
      <c r="H987">
        <v>13881.91</v>
      </c>
      <c r="I987">
        <v>0.1</v>
      </c>
      <c r="J987">
        <v>49974.88</v>
      </c>
      <c r="K987">
        <v>10710.97</v>
      </c>
      <c r="L987">
        <v>1.2</v>
      </c>
      <c r="M987" s="53">
        <v>45156</v>
      </c>
      <c r="N987" t="s">
        <v>43</v>
      </c>
      <c r="O987" t="s">
        <v>73</v>
      </c>
      <c r="P987" s="54">
        <v>0.214327077923949</v>
      </c>
    </row>
    <row r="988" spans="1:16">
      <c r="A988" t="s">
        <v>2624</v>
      </c>
      <c r="B988" t="s">
        <v>2092</v>
      </c>
      <c r="C988" t="s">
        <v>2625</v>
      </c>
      <c r="D988" t="s">
        <v>53</v>
      </c>
      <c r="E988" t="s">
        <v>54</v>
      </c>
      <c r="F988" t="s">
        <v>249</v>
      </c>
      <c r="G988">
        <v>2</v>
      </c>
      <c r="H988">
        <v>11980.28</v>
      </c>
      <c r="I988">
        <v>0.05</v>
      </c>
      <c r="J988">
        <v>22762.53</v>
      </c>
      <c r="K988">
        <v>4972.9</v>
      </c>
      <c r="L988">
        <v>1.7</v>
      </c>
      <c r="M988" s="53">
        <v>45004</v>
      </c>
      <c r="N988" t="s">
        <v>22</v>
      </c>
      <c r="O988" t="s">
        <v>23</v>
      </c>
      <c r="P988" s="54">
        <v>0.218468685159339</v>
      </c>
    </row>
    <row r="989" spans="1:16">
      <c r="A989" t="s">
        <v>2626</v>
      </c>
      <c r="B989" t="s">
        <v>2627</v>
      </c>
      <c r="C989" t="s">
        <v>2628</v>
      </c>
      <c r="D989" t="s">
        <v>53</v>
      </c>
      <c r="E989" t="s">
        <v>95</v>
      </c>
      <c r="F989" t="s">
        <v>306</v>
      </c>
      <c r="G989">
        <v>5</v>
      </c>
      <c r="H989">
        <v>18965.03</v>
      </c>
      <c r="I989">
        <v>0.05</v>
      </c>
      <c r="J989">
        <v>90083.89</v>
      </c>
      <c r="K989">
        <v>18290.37</v>
      </c>
      <c r="L989">
        <v>4.9</v>
      </c>
      <c r="M989" s="53">
        <v>45449</v>
      </c>
      <c r="N989" t="s">
        <v>30</v>
      </c>
      <c r="O989" t="s">
        <v>44</v>
      </c>
      <c r="P989" s="54">
        <v>0.203037080214897</v>
      </c>
    </row>
    <row r="990" spans="1:16">
      <c r="A990" t="s">
        <v>2629</v>
      </c>
      <c r="B990" t="s">
        <v>831</v>
      </c>
      <c r="C990" t="s">
        <v>2630</v>
      </c>
      <c r="D990" t="s">
        <v>19</v>
      </c>
      <c r="E990" t="s">
        <v>20</v>
      </c>
      <c r="F990" t="s">
        <v>454</v>
      </c>
      <c r="G990">
        <v>5</v>
      </c>
      <c r="H990">
        <v>9620.9</v>
      </c>
      <c r="I990">
        <v>0</v>
      </c>
      <c r="J990">
        <v>48104.5</v>
      </c>
      <c r="K990">
        <v>6125.95</v>
      </c>
      <c r="L990">
        <v>1.9</v>
      </c>
      <c r="M990" s="53">
        <v>45100</v>
      </c>
      <c r="N990" t="s">
        <v>56</v>
      </c>
      <c r="O990" t="s">
        <v>57</v>
      </c>
      <c r="P990" s="54">
        <v>0.127346713924893</v>
      </c>
    </row>
    <row r="991" spans="1:16">
      <c r="A991" t="s">
        <v>2631</v>
      </c>
      <c r="B991" t="s">
        <v>1739</v>
      </c>
      <c r="C991" t="s">
        <v>2632</v>
      </c>
      <c r="D991" t="s">
        <v>27</v>
      </c>
      <c r="E991" t="s">
        <v>48</v>
      </c>
      <c r="F991" t="s">
        <v>77</v>
      </c>
      <c r="G991">
        <v>4</v>
      </c>
      <c r="H991">
        <v>18137.24</v>
      </c>
      <c r="I991">
        <v>0</v>
      </c>
      <c r="J991">
        <v>72548.96</v>
      </c>
      <c r="K991">
        <v>16730.39</v>
      </c>
      <c r="L991">
        <v>1</v>
      </c>
      <c r="M991" s="53">
        <v>45454</v>
      </c>
      <c r="N991" t="s">
        <v>30</v>
      </c>
      <c r="O991" t="s">
        <v>23</v>
      </c>
      <c r="P991" s="54">
        <v>0.230608267851117</v>
      </c>
    </row>
    <row r="992" spans="1:16">
      <c r="A992" t="s">
        <v>2633</v>
      </c>
      <c r="B992" t="s">
        <v>945</v>
      </c>
      <c r="C992" t="s">
        <v>2090</v>
      </c>
      <c r="D992" t="s">
        <v>19</v>
      </c>
      <c r="E992" t="s">
        <v>86</v>
      </c>
      <c r="F992" t="s">
        <v>87</v>
      </c>
      <c r="G992">
        <v>5</v>
      </c>
      <c r="H992">
        <v>12647.52</v>
      </c>
      <c r="I992">
        <v>0</v>
      </c>
      <c r="J992">
        <v>63237.6</v>
      </c>
      <c r="K992">
        <v>6047.2</v>
      </c>
      <c r="L992">
        <v>4.8</v>
      </c>
      <c r="M992" s="53">
        <v>45311</v>
      </c>
      <c r="N992" t="s">
        <v>43</v>
      </c>
      <c r="O992" t="s">
        <v>73</v>
      </c>
      <c r="P992" s="54">
        <v>0.095626652497881</v>
      </c>
    </row>
    <row r="993" spans="1:16">
      <c r="A993" t="s">
        <v>2634</v>
      </c>
      <c r="B993" t="s">
        <v>804</v>
      </c>
      <c r="C993" t="s">
        <v>2635</v>
      </c>
      <c r="D993" t="s">
        <v>27</v>
      </c>
      <c r="E993" t="s">
        <v>117</v>
      </c>
      <c r="F993" t="s">
        <v>505</v>
      </c>
      <c r="G993">
        <v>3</v>
      </c>
      <c r="H993">
        <v>9434.19</v>
      </c>
      <c r="I993">
        <v>0.2</v>
      </c>
      <c r="J993">
        <v>22642.06</v>
      </c>
      <c r="K993">
        <v>3093.88</v>
      </c>
      <c r="L993">
        <v>4.7</v>
      </c>
      <c r="M993" s="53">
        <v>44991</v>
      </c>
      <c r="N993" t="s">
        <v>43</v>
      </c>
      <c r="O993" t="s">
        <v>44</v>
      </c>
      <c r="P993" s="54">
        <v>0.136643043963314</v>
      </c>
    </row>
    <row r="994" spans="1:16">
      <c r="A994" t="s">
        <v>2636</v>
      </c>
      <c r="B994" t="s">
        <v>507</v>
      </c>
      <c r="C994" t="s">
        <v>2637</v>
      </c>
      <c r="D994" t="s">
        <v>27</v>
      </c>
      <c r="E994" t="s">
        <v>28</v>
      </c>
      <c r="F994" t="s">
        <v>192</v>
      </c>
      <c r="G994">
        <v>3</v>
      </c>
      <c r="H994">
        <v>2071.68</v>
      </c>
      <c r="I994">
        <v>0.15</v>
      </c>
      <c r="J994">
        <v>5282.78</v>
      </c>
      <c r="K994">
        <v>578.29</v>
      </c>
      <c r="L994">
        <v>2.9</v>
      </c>
      <c r="M994" s="53">
        <v>45174</v>
      </c>
      <c r="N994" t="s">
        <v>43</v>
      </c>
      <c r="O994" t="s">
        <v>23</v>
      </c>
      <c r="P994" s="54">
        <v>0.10946698518583</v>
      </c>
    </row>
    <row r="995" spans="1:16">
      <c r="A995" t="s">
        <v>2638</v>
      </c>
      <c r="B995" t="s">
        <v>2179</v>
      </c>
      <c r="C995" t="s">
        <v>2639</v>
      </c>
      <c r="D995" t="s">
        <v>19</v>
      </c>
      <c r="E995" t="s">
        <v>129</v>
      </c>
      <c r="F995" t="s">
        <v>302</v>
      </c>
      <c r="G995">
        <v>2</v>
      </c>
      <c r="H995">
        <v>13722.18</v>
      </c>
      <c r="I995">
        <v>0</v>
      </c>
      <c r="J995">
        <v>27444.36</v>
      </c>
      <c r="K995">
        <v>1896.5</v>
      </c>
      <c r="L995">
        <v>1</v>
      </c>
      <c r="M995" s="53">
        <v>45455</v>
      </c>
      <c r="N995" t="s">
        <v>56</v>
      </c>
      <c r="O995" t="s">
        <v>44</v>
      </c>
      <c r="P995" s="54">
        <v>0.0691034514924014</v>
      </c>
    </row>
    <row r="996" spans="1:16">
      <c r="A996" t="s">
        <v>2640</v>
      </c>
      <c r="B996" t="s">
        <v>2641</v>
      </c>
      <c r="C996" t="s">
        <v>2642</v>
      </c>
      <c r="D996" t="s">
        <v>53</v>
      </c>
      <c r="E996" t="s">
        <v>71</v>
      </c>
      <c r="F996" t="s">
        <v>225</v>
      </c>
      <c r="G996">
        <v>2</v>
      </c>
      <c r="H996">
        <v>7855.67</v>
      </c>
      <c r="I996">
        <v>0.2</v>
      </c>
      <c r="J996">
        <v>12569.07</v>
      </c>
      <c r="K996">
        <v>1823.08</v>
      </c>
      <c r="L996">
        <v>2.4</v>
      </c>
      <c r="M996" s="53">
        <v>45599</v>
      </c>
      <c r="N996" t="s">
        <v>30</v>
      </c>
      <c r="O996" t="s">
        <v>31</v>
      </c>
      <c r="P996" s="54">
        <v>0.145044939681297</v>
      </c>
    </row>
    <row r="997" spans="1:16">
      <c r="A997" t="s">
        <v>2643</v>
      </c>
      <c r="B997" t="s">
        <v>1134</v>
      </c>
      <c r="C997" t="s">
        <v>323</v>
      </c>
      <c r="D997" t="s">
        <v>40</v>
      </c>
      <c r="E997" t="s">
        <v>174</v>
      </c>
      <c r="F997" t="s">
        <v>199</v>
      </c>
      <c r="G997">
        <v>2</v>
      </c>
      <c r="H997">
        <v>10698.52</v>
      </c>
      <c r="I997">
        <v>0.1</v>
      </c>
      <c r="J997">
        <v>19257.34</v>
      </c>
      <c r="K997">
        <v>4722.91</v>
      </c>
      <c r="L997">
        <v>4.2</v>
      </c>
      <c r="M997" s="53">
        <v>45079</v>
      </c>
      <c r="N997" t="s">
        <v>43</v>
      </c>
      <c r="O997" t="s">
        <v>23</v>
      </c>
      <c r="P997" s="54">
        <v>0.245252459581645</v>
      </c>
    </row>
    <row r="998" spans="1:16">
      <c r="A998" t="s">
        <v>2644</v>
      </c>
      <c r="B998" t="s">
        <v>438</v>
      </c>
      <c r="C998" t="s">
        <v>2645</v>
      </c>
      <c r="D998" t="s">
        <v>27</v>
      </c>
      <c r="E998" t="s">
        <v>28</v>
      </c>
      <c r="F998" t="s">
        <v>192</v>
      </c>
      <c r="G998">
        <v>2</v>
      </c>
      <c r="H998">
        <v>14434.88</v>
      </c>
      <c r="I998">
        <v>0.15</v>
      </c>
      <c r="J998">
        <v>24539.3</v>
      </c>
      <c r="K998">
        <v>2542.74</v>
      </c>
      <c r="L998">
        <v>4</v>
      </c>
      <c r="M998" s="53">
        <v>45308</v>
      </c>
      <c r="N998" t="s">
        <v>43</v>
      </c>
      <c r="O998" t="s">
        <v>31</v>
      </c>
      <c r="P998" s="54">
        <v>0.103619092639154</v>
      </c>
    </row>
    <row r="999" spans="1:16">
      <c r="A999" t="s">
        <v>2646</v>
      </c>
      <c r="B999" t="s">
        <v>2647</v>
      </c>
      <c r="C999" t="s">
        <v>2648</v>
      </c>
      <c r="D999" t="s">
        <v>27</v>
      </c>
      <c r="E999" t="s">
        <v>117</v>
      </c>
      <c r="F999" t="s">
        <v>225</v>
      </c>
      <c r="G999">
        <v>4</v>
      </c>
      <c r="H999">
        <v>8498.76</v>
      </c>
      <c r="I999">
        <v>0</v>
      </c>
      <c r="J999">
        <v>33995.04</v>
      </c>
      <c r="K999">
        <v>1988.98</v>
      </c>
      <c r="L999">
        <v>1.9</v>
      </c>
      <c r="M999" s="53">
        <v>45546</v>
      </c>
      <c r="N999" t="s">
        <v>22</v>
      </c>
      <c r="O999" t="s">
        <v>73</v>
      </c>
      <c r="P999" s="54">
        <v>0.0585079470416861</v>
      </c>
    </row>
    <row r="1000" spans="1:16">
      <c r="A1000" t="s">
        <v>2649</v>
      </c>
      <c r="B1000" t="s">
        <v>1074</v>
      </c>
      <c r="C1000" t="s">
        <v>2650</v>
      </c>
      <c r="D1000" t="s">
        <v>53</v>
      </c>
      <c r="E1000" t="s">
        <v>71</v>
      </c>
      <c r="F1000" t="s">
        <v>150</v>
      </c>
      <c r="G1000">
        <v>2</v>
      </c>
      <c r="H1000">
        <v>19212.89</v>
      </c>
      <c r="I1000">
        <v>0.05</v>
      </c>
      <c r="J1000">
        <v>36504.49</v>
      </c>
      <c r="K1000">
        <v>5645.52</v>
      </c>
      <c r="L1000">
        <v>2.6</v>
      </c>
      <c r="M1000" s="53">
        <v>45583</v>
      </c>
      <c r="N1000" t="s">
        <v>43</v>
      </c>
      <c r="O1000" t="s">
        <v>57</v>
      </c>
      <c r="P1000" s="54">
        <v>0.154652756414348</v>
      </c>
    </row>
    <row r="1001" spans="1:16">
      <c r="A1001" t="s">
        <v>2651</v>
      </c>
      <c r="B1001" t="s">
        <v>2652</v>
      </c>
      <c r="C1001" t="s">
        <v>2653</v>
      </c>
      <c r="D1001" t="s">
        <v>19</v>
      </c>
      <c r="E1001" t="s">
        <v>20</v>
      </c>
      <c r="F1001" t="s">
        <v>21</v>
      </c>
      <c r="G1001">
        <v>2</v>
      </c>
      <c r="H1001">
        <v>18774.15</v>
      </c>
      <c r="I1001">
        <v>0.2</v>
      </c>
      <c r="J1001">
        <v>30038.64</v>
      </c>
      <c r="K1001">
        <v>7476.61</v>
      </c>
      <c r="L1001">
        <v>1.7</v>
      </c>
      <c r="M1001" s="53">
        <v>45234</v>
      </c>
      <c r="N1001" t="s">
        <v>43</v>
      </c>
      <c r="O1001" t="s">
        <v>57</v>
      </c>
      <c r="P1001" s="54">
        <v>0.248899750454748</v>
      </c>
    </row>
    <row r="1002" spans="1:16">
      <c r="A1002" t="s">
        <v>2654</v>
      </c>
      <c r="B1002" t="s">
        <v>1332</v>
      </c>
      <c r="C1002" t="s">
        <v>2655</v>
      </c>
      <c r="D1002" t="s">
        <v>27</v>
      </c>
      <c r="E1002" t="s">
        <v>28</v>
      </c>
      <c r="F1002" t="s">
        <v>225</v>
      </c>
      <c r="G1002">
        <v>1</v>
      </c>
      <c r="H1002">
        <v>175.19</v>
      </c>
      <c r="I1002">
        <v>0.15</v>
      </c>
      <c r="J1002">
        <v>148.91</v>
      </c>
      <c r="K1002">
        <v>29.29</v>
      </c>
      <c r="L1002">
        <v>4.8</v>
      </c>
      <c r="M1002" s="53">
        <v>45608</v>
      </c>
      <c r="N1002" t="s">
        <v>22</v>
      </c>
      <c r="O1002" t="s">
        <v>73</v>
      </c>
      <c r="P1002" s="54">
        <v>0.196695990866967</v>
      </c>
    </row>
    <row r="1003" spans="1:16">
      <c r="A1003" t="s">
        <v>2656</v>
      </c>
      <c r="B1003" t="s">
        <v>2098</v>
      </c>
      <c r="C1003" t="s">
        <v>2657</v>
      </c>
      <c r="D1003" t="s">
        <v>53</v>
      </c>
      <c r="E1003" t="s">
        <v>71</v>
      </c>
      <c r="F1003" t="s">
        <v>150</v>
      </c>
      <c r="G1003">
        <v>2</v>
      </c>
      <c r="H1003">
        <v>12321.35</v>
      </c>
      <c r="I1003">
        <v>0.1</v>
      </c>
      <c r="J1003">
        <v>22178.43</v>
      </c>
      <c r="K1003">
        <v>3868.27</v>
      </c>
      <c r="L1003">
        <v>1.2</v>
      </c>
      <c r="M1003" s="53">
        <v>45337</v>
      </c>
      <c r="N1003" t="s">
        <v>30</v>
      </c>
      <c r="O1003" t="s">
        <v>44</v>
      </c>
      <c r="P1003" s="54">
        <v>0.174415862619672</v>
      </c>
    </row>
    <row r="1004" spans="1:16">
      <c r="A1004" t="s">
        <v>2658</v>
      </c>
      <c r="B1004" t="s">
        <v>959</v>
      </c>
      <c r="C1004" t="s">
        <v>2659</v>
      </c>
      <c r="D1004" t="s">
        <v>27</v>
      </c>
      <c r="E1004" t="s">
        <v>117</v>
      </c>
      <c r="F1004" t="s">
        <v>225</v>
      </c>
      <c r="G1004">
        <v>5</v>
      </c>
      <c r="H1004">
        <v>6522</v>
      </c>
      <c r="I1004">
        <v>0.2</v>
      </c>
      <c r="J1004">
        <v>26088</v>
      </c>
      <c r="K1004">
        <v>5389.6</v>
      </c>
      <c r="L1004">
        <v>3</v>
      </c>
      <c r="M1004" s="53">
        <v>45267</v>
      </c>
      <c r="N1004" t="s">
        <v>56</v>
      </c>
      <c r="O1004" t="s">
        <v>44</v>
      </c>
      <c r="P1004" s="54">
        <v>0.206593069610549</v>
      </c>
    </row>
    <row r="1005" spans="1:16">
      <c r="A1005" t="s">
        <v>2660</v>
      </c>
      <c r="B1005" t="s">
        <v>1962</v>
      </c>
      <c r="C1005" t="s">
        <v>2661</v>
      </c>
      <c r="D1005" t="s">
        <v>40</v>
      </c>
      <c r="E1005" t="s">
        <v>41</v>
      </c>
      <c r="F1005" t="s">
        <v>91</v>
      </c>
      <c r="G1005">
        <v>2</v>
      </c>
      <c r="H1005">
        <v>5775.17</v>
      </c>
      <c r="I1005">
        <v>0.1</v>
      </c>
      <c r="J1005">
        <v>10395.31</v>
      </c>
      <c r="K1005">
        <v>1829.81</v>
      </c>
      <c r="L1005">
        <v>2.3</v>
      </c>
      <c r="M1005" s="53">
        <v>45134</v>
      </c>
      <c r="N1005" t="s">
        <v>43</v>
      </c>
      <c r="O1005" t="s">
        <v>31</v>
      </c>
      <c r="P1005" s="54">
        <v>0.17602264867522</v>
      </c>
    </row>
    <row r="1006" spans="1:16">
      <c r="A1006" t="s">
        <v>2662</v>
      </c>
      <c r="B1006" t="s">
        <v>2663</v>
      </c>
      <c r="C1006" t="s">
        <v>2621</v>
      </c>
      <c r="D1006" t="s">
        <v>27</v>
      </c>
      <c r="E1006" t="s">
        <v>28</v>
      </c>
      <c r="F1006" t="s">
        <v>29</v>
      </c>
      <c r="G1006">
        <v>2</v>
      </c>
      <c r="H1006">
        <v>2083.28</v>
      </c>
      <c r="I1006">
        <v>0.05</v>
      </c>
      <c r="J1006">
        <v>3958.23</v>
      </c>
      <c r="K1006">
        <v>948.46</v>
      </c>
      <c r="L1006">
        <v>4.2</v>
      </c>
      <c r="M1006" s="53">
        <v>45553</v>
      </c>
      <c r="N1006" t="s">
        <v>56</v>
      </c>
      <c r="O1006" t="s">
        <v>23</v>
      </c>
      <c r="P1006" s="54">
        <v>0.239617202638553</v>
      </c>
    </row>
    <row r="1007" spans="1:16">
      <c r="A1007" t="s">
        <v>2664</v>
      </c>
      <c r="B1007" t="s">
        <v>2485</v>
      </c>
      <c r="C1007" t="s">
        <v>2665</v>
      </c>
      <c r="D1007" t="s">
        <v>53</v>
      </c>
      <c r="E1007" t="s">
        <v>95</v>
      </c>
      <c r="F1007" t="s">
        <v>271</v>
      </c>
      <c r="G1007">
        <v>1</v>
      </c>
      <c r="H1007">
        <v>17037.06</v>
      </c>
      <c r="I1007">
        <v>0.1</v>
      </c>
      <c r="J1007">
        <v>15333.35</v>
      </c>
      <c r="K1007">
        <v>919.84</v>
      </c>
      <c r="L1007">
        <v>3.6</v>
      </c>
      <c r="M1007" s="53">
        <v>44996</v>
      </c>
      <c r="N1007" t="s">
        <v>43</v>
      </c>
      <c r="O1007" t="s">
        <v>44</v>
      </c>
      <c r="P1007" s="54">
        <v>0.059989500011413</v>
      </c>
    </row>
    <row r="1008" spans="1:16">
      <c r="A1008" t="s">
        <v>2666</v>
      </c>
      <c r="B1008" t="s">
        <v>1914</v>
      </c>
      <c r="C1008" t="s">
        <v>2667</v>
      </c>
      <c r="D1008" t="s">
        <v>40</v>
      </c>
      <c r="E1008" t="s">
        <v>174</v>
      </c>
      <c r="F1008" t="s">
        <v>313</v>
      </c>
      <c r="G1008">
        <v>4</v>
      </c>
      <c r="H1008">
        <v>15000.25</v>
      </c>
      <c r="I1008">
        <v>0</v>
      </c>
      <c r="J1008">
        <v>60001</v>
      </c>
      <c r="K1008">
        <v>3142.14</v>
      </c>
      <c r="L1008">
        <v>2.5</v>
      </c>
      <c r="M1008" s="53">
        <v>45245</v>
      </c>
      <c r="N1008" t="s">
        <v>22</v>
      </c>
      <c r="O1008" t="s">
        <v>73</v>
      </c>
      <c r="P1008" s="54">
        <v>0.05236812719788</v>
      </c>
    </row>
    <row r="1009" spans="1:16">
      <c r="A1009" t="s">
        <v>2668</v>
      </c>
      <c r="B1009" t="s">
        <v>2669</v>
      </c>
      <c r="C1009" t="s">
        <v>2670</v>
      </c>
      <c r="D1009" t="s">
        <v>27</v>
      </c>
      <c r="E1009" t="s">
        <v>48</v>
      </c>
      <c r="F1009" t="s">
        <v>64</v>
      </c>
      <c r="G1009">
        <v>5</v>
      </c>
      <c r="H1009">
        <v>8642.34</v>
      </c>
      <c r="I1009">
        <v>0.1</v>
      </c>
      <c r="J1009">
        <v>38890.53</v>
      </c>
      <c r="K1009">
        <v>2257.32</v>
      </c>
      <c r="L1009">
        <v>4.6</v>
      </c>
      <c r="M1009" s="53">
        <v>45639</v>
      </c>
      <c r="N1009" t="s">
        <v>30</v>
      </c>
      <c r="O1009" t="s">
        <v>31</v>
      </c>
      <c r="P1009" s="54">
        <v>0.0580429220172623</v>
      </c>
    </row>
    <row r="1010" spans="1:16">
      <c r="A1010" t="s">
        <v>2671</v>
      </c>
      <c r="B1010" t="s">
        <v>2672</v>
      </c>
      <c r="C1010" t="s">
        <v>2673</v>
      </c>
      <c r="D1010" t="s">
        <v>53</v>
      </c>
      <c r="E1010" t="s">
        <v>71</v>
      </c>
      <c r="F1010" t="s">
        <v>406</v>
      </c>
      <c r="G1010">
        <v>3</v>
      </c>
      <c r="H1010">
        <v>10453.09</v>
      </c>
      <c r="I1010">
        <v>0.2</v>
      </c>
      <c r="J1010">
        <v>25087.42</v>
      </c>
      <c r="K1010">
        <v>4705.77</v>
      </c>
      <c r="L1010">
        <v>2.1</v>
      </c>
      <c r="M1010" s="53">
        <v>45236</v>
      </c>
      <c r="N1010" t="s">
        <v>22</v>
      </c>
      <c r="O1010" t="s">
        <v>57</v>
      </c>
      <c r="P1010" s="54">
        <v>0.187574888131183</v>
      </c>
    </row>
    <row r="1011" spans="1:16">
      <c r="A1011" t="s">
        <v>2674</v>
      </c>
      <c r="B1011" t="s">
        <v>2139</v>
      </c>
      <c r="C1011" t="s">
        <v>2675</v>
      </c>
      <c r="D1011" t="s">
        <v>40</v>
      </c>
      <c r="E1011" t="s">
        <v>81</v>
      </c>
      <c r="F1011" t="s">
        <v>82</v>
      </c>
      <c r="G1011">
        <v>5</v>
      </c>
      <c r="H1011">
        <v>3134.37</v>
      </c>
      <c r="I1011">
        <v>0</v>
      </c>
      <c r="J1011">
        <v>15671.85</v>
      </c>
      <c r="K1011">
        <v>3302.85</v>
      </c>
      <c r="L1011">
        <v>4</v>
      </c>
      <c r="M1011" s="53">
        <v>45136</v>
      </c>
      <c r="N1011" t="s">
        <v>56</v>
      </c>
      <c r="O1011" t="s">
        <v>23</v>
      </c>
      <c r="P1011" s="54">
        <v>0.210750485743546</v>
      </c>
    </row>
    <row r="1012" spans="1:16">
      <c r="A1012" t="s">
        <v>2676</v>
      </c>
      <c r="B1012" t="s">
        <v>931</v>
      </c>
      <c r="C1012" t="s">
        <v>2240</v>
      </c>
      <c r="D1012" t="s">
        <v>27</v>
      </c>
      <c r="E1012" t="s">
        <v>233</v>
      </c>
      <c r="F1012" t="s">
        <v>665</v>
      </c>
      <c r="G1012">
        <v>1</v>
      </c>
      <c r="H1012">
        <v>18461.86</v>
      </c>
      <c r="I1012">
        <v>0.1</v>
      </c>
      <c r="J1012">
        <v>16615.67</v>
      </c>
      <c r="K1012">
        <v>2681.83</v>
      </c>
      <c r="L1012">
        <v>3.5</v>
      </c>
      <c r="M1012" s="53">
        <v>45431</v>
      </c>
      <c r="N1012" t="s">
        <v>56</v>
      </c>
      <c r="O1012" t="s">
        <v>57</v>
      </c>
      <c r="P1012" s="54">
        <v>0.161403662927827</v>
      </c>
    </row>
    <row r="1013" spans="1:16">
      <c r="A1013" t="s">
        <v>2677</v>
      </c>
      <c r="B1013" t="s">
        <v>2678</v>
      </c>
      <c r="C1013" t="s">
        <v>2679</v>
      </c>
      <c r="D1013" t="s">
        <v>19</v>
      </c>
      <c r="E1013" t="s">
        <v>20</v>
      </c>
      <c r="F1013" t="s">
        <v>121</v>
      </c>
      <c r="G1013">
        <v>4</v>
      </c>
      <c r="H1013">
        <v>7450.64</v>
      </c>
      <c r="I1013">
        <v>0.2</v>
      </c>
      <c r="J1013">
        <v>23842.05</v>
      </c>
      <c r="K1013">
        <v>5748.36</v>
      </c>
      <c r="L1013">
        <v>3.2</v>
      </c>
      <c r="M1013" s="53">
        <v>45115</v>
      </c>
      <c r="N1013" t="s">
        <v>43</v>
      </c>
      <c r="O1013" t="s">
        <v>73</v>
      </c>
      <c r="P1013" s="54">
        <v>0.241101750898098</v>
      </c>
    </row>
    <row r="1014" spans="1:16">
      <c r="A1014" t="s">
        <v>2680</v>
      </c>
      <c r="B1014" t="s">
        <v>2382</v>
      </c>
      <c r="C1014" t="s">
        <v>1025</v>
      </c>
      <c r="D1014" t="s">
        <v>19</v>
      </c>
      <c r="E1014" t="s">
        <v>35</v>
      </c>
      <c r="F1014" t="s">
        <v>36</v>
      </c>
      <c r="G1014">
        <v>2</v>
      </c>
      <c r="H1014">
        <v>2664.89</v>
      </c>
      <c r="I1014">
        <v>0.15</v>
      </c>
      <c r="J1014">
        <v>4530.31</v>
      </c>
      <c r="K1014">
        <v>890.52</v>
      </c>
      <c r="L1014">
        <v>3.3</v>
      </c>
      <c r="M1014" s="53">
        <v>45408</v>
      </c>
      <c r="N1014" t="s">
        <v>43</v>
      </c>
      <c r="O1014" t="s">
        <v>44</v>
      </c>
      <c r="P1014" s="54">
        <v>0.19656932969267</v>
      </c>
    </row>
    <row r="1015" spans="1:16">
      <c r="A1015" t="s">
        <v>2681</v>
      </c>
      <c r="B1015" t="s">
        <v>2030</v>
      </c>
      <c r="C1015" t="s">
        <v>2682</v>
      </c>
      <c r="D1015" t="s">
        <v>40</v>
      </c>
      <c r="E1015" t="s">
        <v>81</v>
      </c>
      <c r="F1015" t="s">
        <v>263</v>
      </c>
      <c r="G1015">
        <v>1</v>
      </c>
      <c r="H1015">
        <v>12618.92</v>
      </c>
      <c r="I1015">
        <v>0</v>
      </c>
      <c r="J1015">
        <v>12618.92</v>
      </c>
      <c r="K1015">
        <v>1557.14</v>
      </c>
      <c r="L1015">
        <v>4.1</v>
      </c>
      <c r="M1015" s="53">
        <v>45370</v>
      </c>
      <c r="N1015" t="s">
        <v>56</v>
      </c>
      <c r="O1015" t="s">
        <v>23</v>
      </c>
      <c r="P1015" s="54">
        <v>0.123397247941979</v>
      </c>
    </row>
    <row r="1016" spans="1:16">
      <c r="A1016" t="s">
        <v>2683</v>
      </c>
      <c r="B1016" t="s">
        <v>2684</v>
      </c>
      <c r="C1016" t="s">
        <v>2685</v>
      </c>
      <c r="D1016" t="s">
        <v>53</v>
      </c>
      <c r="E1016" t="s">
        <v>100</v>
      </c>
      <c r="F1016" t="s">
        <v>101</v>
      </c>
      <c r="G1016">
        <v>2</v>
      </c>
      <c r="H1016">
        <v>4737.08</v>
      </c>
      <c r="I1016">
        <v>0.05</v>
      </c>
      <c r="J1016">
        <v>9000.45</v>
      </c>
      <c r="K1016">
        <v>1030.18</v>
      </c>
      <c r="L1016">
        <v>2.2</v>
      </c>
      <c r="M1016" s="53">
        <v>45086</v>
      </c>
      <c r="N1016" t="s">
        <v>56</v>
      </c>
      <c r="O1016" t="s">
        <v>44</v>
      </c>
      <c r="P1016" s="54">
        <v>0.114458721508369</v>
      </c>
    </row>
    <row r="1017" spans="1:16">
      <c r="A1017" t="s">
        <v>2686</v>
      </c>
      <c r="B1017" t="s">
        <v>1108</v>
      </c>
      <c r="C1017" t="s">
        <v>2687</v>
      </c>
      <c r="D1017" t="s">
        <v>40</v>
      </c>
      <c r="E1017" t="s">
        <v>262</v>
      </c>
      <c r="F1017" t="s">
        <v>263</v>
      </c>
      <c r="G1017">
        <v>3</v>
      </c>
      <c r="H1017">
        <v>17612.62</v>
      </c>
      <c r="I1017">
        <v>0.05</v>
      </c>
      <c r="J1017">
        <v>50195.97</v>
      </c>
      <c r="K1017">
        <v>11945.08</v>
      </c>
      <c r="L1017">
        <v>3.9</v>
      </c>
      <c r="M1017" s="53">
        <v>45224</v>
      </c>
      <c r="N1017" t="s">
        <v>30</v>
      </c>
      <c r="O1017" t="s">
        <v>73</v>
      </c>
      <c r="P1017" s="54">
        <v>0.237968904675017</v>
      </c>
    </row>
    <row r="1018" spans="1:16">
      <c r="A1018" t="s">
        <v>2688</v>
      </c>
      <c r="B1018" t="s">
        <v>1149</v>
      </c>
      <c r="C1018" t="s">
        <v>2689</v>
      </c>
      <c r="D1018" t="s">
        <v>19</v>
      </c>
      <c r="E1018" t="s">
        <v>86</v>
      </c>
      <c r="F1018" t="s">
        <v>113</v>
      </c>
      <c r="G1018">
        <v>5</v>
      </c>
      <c r="H1018">
        <v>2842.22</v>
      </c>
      <c r="I1018">
        <v>0</v>
      </c>
      <c r="J1018">
        <v>14211.1</v>
      </c>
      <c r="K1018">
        <v>3151.25</v>
      </c>
      <c r="L1018">
        <v>2.2</v>
      </c>
      <c r="M1018" s="53">
        <v>45576</v>
      </c>
      <c r="N1018" t="s">
        <v>56</v>
      </c>
      <c r="O1018" t="s">
        <v>23</v>
      </c>
      <c r="P1018" s="54">
        <v>0.221745677674494</v>
      </c>
    </row>
    <row r="1019" spans="1:16">
      <c r="A1019" t="s">
        <v>2690</v>
      </c>
      <c r="B1019" t="s">
        <v>1849</v>
      </c>
      <c r="C1019" t="s">
        <v>2691</v>
      </c>
      <c r="D1019" t="s">
        <v>19</v>
      </c>
      <c r="E1019" t="s">
        <v>35</v>
      </c>
      <c r="F1019" t="s">
        <v>36</v>
      </c>
      <c r="G1019">
        <v>4</v>
      </c>
      <c r="H1019">
        <v>10616.54</v>
      </c>
      <c r="I1019">
        <v>0.2</v>
      </c>
      <c r="J1019">
        <v>33972.93</v>
      </c>
      <c r="K1019">
        <v>4444.48</v>
      </c>
      <c r="L1019">
        <v>2.2</v>
      </c>
      <c r="M1019" s="53">
        <v>44976</v>
      </c>
      <c r="N1019" t="s">
        <v>43</v>
      </c>
      <c r="O1019" t="s">
        <v>23</v>
      </c>
      <c r="P1019" s="54">
        <v>0.130824159117274</v>
      </c>
    </row>
    <row r="1020" spans="1:16">
      <c r="A1020" t="s">
        <v>2692</v>
      </c>
      <c r="B1020" t="s">
        <v>1750</v>
      </c>
      <c r="C1020" t="s">
        <v>2693</v>
      </c>
      <c r="D1020" t="s">
        <v>27</v>
      </c>
      <c r="E1020" t="s">
        <v>28</v>
      </c>
      <c r="F1020" t="s">
        <v>29</v>
      </c>
      <c r="G1020">
        <v>3</v>
      </c>
      <c r="H1020">
        <v>16208.51</v>
      </c>
      <c r="I1020">
        <v>0</v>
      </c>
      <c r="J1020">
        <v>48625.53</v>
      </c>
      <c r="K1020">
        <v>2493.62</v>
      </c>
      <c r="L1020">
        <v>2.7</v>
      </c>
      <c r="M1020" s="53">
        <v>45204</v>
      </c>
      <c r="N1020" t="s">
        <v>30</v>
      </c>
      <c r="O1020" t="s">
        <v>23</v>
      </c>
      <c r="P1020" s="54">
        <v>0.0512821145599852</v>
      </c>
    </row>
    <row r="1021" spans="1:16">
      <c r="A1021" t="s">
        <v>2694</v>
      </c>
      <c r="B1021" t="s">
        <v>2695</v>
      </c>
      <c r="C1021" t="s">
        <v>2696</v>
      </c>
      <c r="D1021" t="s">
        <v>27</v>
      </c>
      <c r="E1021" t="s">
        <v>28</v>
      </c>
      <c r="F1021" t="s">
        <v>105</v>
      </c>
      <c r="G1021">
        <v>5</v>
      </c>
      <c r="H1021">
        <v>17109.76</v>
      </c>
      <c r="I1021">
        <v>0</v>
      </c>
      <c r="J1021">
        <v>85548.8</v>
      </c>
      <c r="K1021">
        <v>19021.99</v>
      </c>
      <c r="L1021">
        <v>1.3</v>
      </c>
      <c r="M1021" s="53">
        <v>45329</v>
      </c>
      <c r="N1021" t="s">
        <v>56</v>
      </c>
      <c r="O1021" t="s">
        <v>73</v>
      </c>
      <c r="P1021" s="54">
        <v>0.222352505236777</v>
      </c>
    </row>
    <row r="1022" spans="1:16">
      <c r="A1022" t="s">
        <v>2697</v>
      </c>
      <c r="B1022" t="s">
        <v>2610</v>
      </c>
      <c r="C1022" t="s">
        <v>2698</v>
      </c>
      <c r="D1022" t="s">
        <v>27</v>
      </c>
      <c r="E1022" t="s">
        <v>28</v>
      </c>
      <c r="F1022" t="s">
        <v>225</v>
      </c>
      <c r="G1022">
        <v>1</v>
      </c>
      <c r="H1022">
        <v>3318.46</v>
      </c>
      <c r="I1022">
        <v>0.2</v>
      </c>
      <c r="J1022">
        <v>2654.77</v>
      </c>
      <c r="K1022">
        <v>308.66</v>
      </c>
      <c r="L1022">
        <v>1.8</v>
      </c>
      <c r="M1022" s="53">
        <v>45106</v>
      </c>
      <c r="N1022" t="s">
        <v>43</v>
      </c>
      <c r="O1022" t="s">
        <v>23</v>
      </c>
      <c r="P1022" s="54">
        <v>0.11626619255152</v>
      </c>
    </row>
    <row r="1023" spans="1:16">
      <c r="A1023" t="s">
        <v>2699</v>
      </c>
      <c r="B1023" t="s">
        <v>2530</v>
      </c>
      <c r="C1023" t="s">
        <v>2700</v>
      </c>
      <c r="D1023" t="s">
        <v>27</v>
      </c>
      <c r="E1023" t="s">
        <v>48</v>
      </c>
      <c r="F1023" t="s">
        <v>77</v>
      </c>
      <c r="G1023">
        <v>5</v>
      </c>
      <c r="H1023">
        <v>6570.01</v>
      </c>
      <c r="I1023">
        <v>0.1</v>
      </c>
      <c r="J1023">
        <v>29565.05</v>
      </c>
      <c r="K1023">
        <v>2800.72</v>
      </c>
      <c r="L1023">
        <v>4.3</v>
      </c>
      <c r="M1023" s="53">
        <v>45146</v>
      </c>
      <c r="N1023" t="s">
        <v>30</v>
      </c>
      <c r="O1023" t="s">
        <v>57</v>
      </c>
      <c r="P1023" s="54">
        <v>0.0947307716374571</v>
      </c>
    </row>
    <row r="1024" spans="1:16">
      <c r="A1024" t="s">
        <v>2701</v>
      </c>
      <c r="B1024" t="s">
        <v>611</v>
      </c>
      <c r="C1024" t="s">
        <v>2702</v>
      </c>
      <c r="D1024" t="s">
        <v>19</v>
      </c>
      <c r="E1024" t="s">
        <v>35</v>
      </c>
      <c r="F1024" t="s">
        <v>245</v>
      </c>
      <c r="G1024">
        <v>5</v>
      </c>
      <c r="H1024">
        <v>12572.08</v>
      </c>
      <c r="I1024">
        <v>0.1</v>
      </c>
      <c r="J1024">
        <v>56574.36</v>
      </c>
      <c r="K1024">
        <v>9186.43</v>
      </c>
      <c r="L1024">
        <v>1.3</v>
      </c>
      <c r="M1024" s="53">
        <v>45380</v>
      </c>
      <c r="N1024" t="s">
        <v>30</v>
      </c>
      <c r="O1024" t="s">
        <v>57</v>
      </c>
      <c r="P1024" s="54">
        <v>0.16237797475747</v>
      </c>
    </row>
    <row r="1025" spans="1:16">
      <c r="A1025" t="s">
        <v>2703</v>
      </c>
      <c r="B1025" t="s">
        <v>2576</v>
      </c>
      <c r="C1025" t="s">
        <v>2704</v>
      </c>
      <c r="D1025" t="s">
        <v>53</v>
      </c>
      <c r="E1025" t="s">
        <v>54</v>
      </c>
      <c r="F1025" t="s">
        <v>55</v>
      </c>
      <c r="G1025">
        <v>4</v>
      </c>
      <c r="H1025">
        <v>5335.09</v>
      </c>
      <c r="I1025">
        <v>0.05</v>
      </c>
      <c r="J1025">
        <v>20273.34</v>
      </c>
      <c r="K1025">
        <v>3694.71</v>
      </c>
      <c r="L1025">
        <v>3.7</v>
      </c>
      <c r="M1025" s="53">
        <v>45475</v>
      </c>
      <c r="N1025" t="s">
        <v>30</v>
      </c>
      <c r="O1025" t="s">
        <v>23</v>
      </c>
      <c r="P1025" s="54">
        <v>0.182244760853416</v>
      </c>
    </row>
    <row r="1026" spans="1:16">
      <c r="A1026" t="s">
        <v>2705</v>
      </c>
      <c r="B1026" t="s">
        <v>2108</v>
      </c>
      <c r="C1026" t="s">
        <v>2706</v>
      </c>
      <c r="D1026" t="s">
        <v>53</v>
      </c>
      <c r="E1026" t="s">
        <v>54</v>
      </c>
      <c r="F1026" t="s">
        <v>258</v>
      </c>
      <c r="G1026">
        <v>2</v>
      </c>
      <c r="H1026">
        <v>7128.35</v>
      </c>
      <c r="I1026">
        <v>0.05</v>
      </c>
      <c r="J1026">
        <v>13543.86</v>
      </c>
      <c r="K1026">
        <v>3092.73</v>
      </c>
      <c r="L1026">
        <v>3.5</v>
      </c>
      <c r="M1026" s="53">
        <v>45523</v>
      </c>
      <c r="N1026" t="s">
        <v>43</v>
      </c>
      <c r="O1026" t="s">
        <v>23</v>
      </c>
      <c r="P1026" s="54">
        <v>0.228349229835512</v>
      </c>
    </row>
    <row r="1027" spans="1:16">
      <c r="A1027" t="s">
        <v>2707</v>
      </c>
      <c r="B1027" t="s">
        <v>2144</v>
      </c>
      <c r="C1027" t="s">
        <v>2708</v>
      </c>
      <c r="D1027" t="s">
        <v>19</v>
      </c>
      <c r="E1027" t="s">
        <v>129</v>
      </c>
      <c r="F1027" t="s">
        <v>320</v>
      </c>
      <c r="G1027">
        <v>4</v>
      </c>
      <c r="H1027">
        <v>7047.15</v>
      </c>
      <c r="I1027">
        <v>0.2</v>
      </c>
      <c r="J1027">
        <v>22550.88</v>
      </c>
      <c r="K1027">
        <v>2408.71</v>
      </c>
      <c r="L1027">
        <v>4.1</v>
      </c>
      <c r="M1027" s="53">
        <v>45350</v>
      </c>
      <c r="N1027" t="s">
        <v>43</v>
      </c>
      <c r="O1027" t="s">
        <v>23</v>
      </c>
      <c r="P1027" s="54">
        <v>0.106812239699737</v>
      </c>
    </row>
    <row r="1028" spans="1:16">
      <c r="A1028" t="s">
        <v>2709</v>
      </c>
      <c r="B1028" t="s">
        <v>2435</v>
      </c>
      <c r="C1028" t="s">
        <v>2710</v>
      </c>
      <c r="D1028" t="s">
        <v>40</v>
      </c>
      <c r="E1028" t="s">
        <v>81</v>
      </c>
      <c r="F1028" t="s">
        <v>358</v>
      </c>
      <c r="G1028">
        <v>5</v>
      </c>
      <c r="H1028">
        <v>13163.36</v>
      </c>
      <c r="I1028">
        <v>0.15</v>
      </c>
      <c r="J1028">
        <v>55944.28</v>
      </c>
      <c r="K1028">
        <v>9263.34</v>
      </c>
      <c r="L1028">
        <v>4.9</v>
      </c>
      <c r="M1028" s="53">
        <v>45153</v>
      </c>
      <c r="N1028" t="s">
        <v>30</v>
      </c>
      <c r="O1028" t="s">
        <v>31</v>
      </c>
      <c r="P1028" s="54">
        <v>0.165581539345935</v>
      </c>
    </row>
    <row r="1029" spans="1:16">
      <c r="A1029" t="s">
        <v>2711</v>
      </c>
      <c r="B1029" t="s">
        <v>2533</v>
      </c>
      <c r="C1029" t="s">
        <v>2712</v>
      </c>
      <c r="D1029" t="s">
        <v>40</v>
      </c>
      <c r="E1029" t="s">
        <v>41</v>
      </c>
      <c r="F1029" t="s">
        <v>125</v>
      </c>
      <c r="G1029">
        <v>2</v>
      </c>
      <c r="H1029">
        <v>4928.14</v>
      </c>
      <c r="I1029">
        <v>0.15</v>
      </c>
      <c r="J1029">
        <v>8377.84</v>
      </c>
      <c r="K1029">
        <v>537.53</v>
      </c>
      <c r="L1029">
        <v>1.5</v>
      </c>
      <c r="M1029" s="53">
        <v>45525</v>
      </c>
      <c r="N1029" t="s">
        <v>22</v>
      </c>
      <c r="O1029" t="s">
        <v>23</v>
      </c>
      <c r="P1029" s="54">
        <v>0.0641609293087478</v>
      </c>
    </row>
    <row r="1030" spans="1:16">
      <c r="A1030" t="s">
        <v>2713</v>
      </c>
      <c r="B1030" t="s">
        <v>1054</v>
      </c>
      <c r="C1030" t="s">
        <v>2714</v>
      </c>
      <c r="D1030" t="s">
        <v>40</v>
      </c>
      <c r="E1030" t="s">
        <v>41</v>
      </c>
      <c r="F1030" t="s">
        <v>42</v>
      </c>
      <c r="G1030">
        <v>4</v>
      </c>
      <c r="H1030">
        <v>17615.18</v>
      </c>
      <c r="I1030">
        <v>0</v>
      </c>
      <c r="J1030">
        <v>70460.72</v>
      </c>
      <c r="K1030">
        <v>7208.76</v>
      </c>
      <c r="L1030">
        <v>3.9</v>
      </c>
      <c r="M1030" s="53">
        <v>44973</v>
      </c>
      <c r="N1030" t="s">
        <v>22</v>
      </c>
      <c r="O1030" t="s">
        <v>57</v>
      </c>
      <c r="P1030" s="54">
        <v>0.102308917649436</v>
      </c>
    </row>
    <row r="1031" spans="1:16">
      <c r="A1031" t="s">
        <v>2715</v>
      </c>
      <c r="B1031" t="s">
        <v>491</v>
      </c>
      <c r="C1031" t="s">
        <v>2716</v>
      </c>
      <c r="D1031" t="s">
        <v>40</v>
      </c>
      <c r="E1031" t="s">
        <v>262</v>
      </c>
      <c r="F1031" t="s">
        <v>385</v>
      </c>
      <c r="G1031">
        <v>2</v>
      </c>
      <c r="H1031">
        <v>15571.29</v>
      </c>
      <c r="I1031">
        <v>0.2</v>
      </c>
      <c r="J1031">
        <v>24914.06</v>
      </c>
      <c r="K1031">
        <v>4648.09</v>
      </c>
      <c r="L1031">
        <v>1</v>
      </c>
      <c r="M1031" s="53">
        <v>45177</v>
      </c>
      <c r="N1031" t="s">
        <v>56</v>
      </c>
      <c r="O1031" t="s">
        <v>44</v>
      </c>
      <c r="P1031" s="54">
        <v>0.186564935622697</v>
      </c>
    </row>
    <row r="1032" spans="1:16">
      <c r="A1032" t="s">
        <v>2717</v>
      </c>
      <c r="B1032" t="s">
        <v>2718</v>
      </c>
      <c r="C1032" t="s">
        <v>2719</v>
      </c>
      <c r="D1032" t="s">
        <v>27</v>
      </c>
      <c r="E1032" t="s">
        <v>117</v>
      </c>
      <c r="F1032" t="s">
        <v>225</v>
      </c>
      <c r="G1032">
        <v>1</v>
      </c>
      <c r="H1032">
        <v>8118.86</v>
      </c>
      <c r="I1032">
        <v>0.1</v>
      </c>
      <c r="J1032">
        <v>7306.97</v>
      </c>
      <c r="K1032">
        <v>1495.31</v>
      </c>
      <c r="L1032">
        <v>3.6</v>
      </c>
      <c r="M1032" s="53">
        <v>45039</v>
      </c>
      <c r="N1032" t="s">
        <v>56</v>
      </c>
      <c r="O1032" t="s">
        <v>31</v>
      </c>
      <c r="P1032" s="54">
        <v>0.204641595627189</v>
      </c>
    </row>
    <row r="1033" spans="1:16">
      <c r="A1033" t="s">
        <v>2720</v>
      </c>
      <c r="B1033" t="s">
        <v>1179</v>
      </c>
      <c r="C1033" t="s">
        <v>2721</v>
      </c>
      <c r="D1033" t="s">
        <v>27</v>
      </c>
      <c r="E1033" t="s">
        <v>28</v>
      </c>
      <c r="F1033" t="s">
        <v>225</v>
      </c>
      <c r="G1033">
        <v>5</v>
      </c>
      <c r="H1033">
        <v>18969.75</v>
      </c>
      <c r="I1033">
        <v>0.15</v>
      </c>
      <c r="J1033">
        <v>80621.44</v>
      </c>
      <c r="K1033">
        <v>6800.46</v>
      </c>
      <c r="L1033">
        <v>4.4</v>
      </c>
      <c r="M1033" s="53">
        <v>45574</v>
      </c>
      <c r="N1033" t="s">
        <v>43</v>
      </c>
      <c r="O1033" t="s">
        <v>23</v>
      </c>
      <c r="P1033" s="54">
        <v>0.0843505151979424</v>
      </c>
    </row>
    <row r="1034" spans="1:16">
      <c r="A1034" t="s">
        <v>2722</v>
      </c>
      <c r="B1034" t="s">
        <v>369</v>
      </c>
      <c r="C1034" t="s">
        <v>1882</v>
      </c>
      <c r="D1034" t="s">
        <v>27</v>
      </c>
      <c r="E1034" t="s">
        <v>28</v>
      </c>
      <c r="F1034" t="s">
        <v>225</v>
      </c>
      <c r="G1034">
        <v>4</v>
      </c>
      <c r="H1034">
        <v>11924.85</v>
      </c>
      <c r="I1034">
        <v>0</v>
      </c>
      <c r="J1034">
        <v>47699.4</v>
      </c>
      <c r="K1034">
        <v>7008.49</v>
      </c>
      <c r="L1034">
        <v>4.9</v>
      </c>
      <c r="M1034" s="53">
        <v>45226</v>
      </c>
      <c r="N1034" t="s">
        <v>43</v>
      </c>
      <c r="O1034" t="s">
        <v>44</v>
      </c>
      <c r="P1034" s="54">
        <v>0.146930359711024</v>
      </c>
    </row>
    <row r="1035" spans="1:16">
      <c r="A1035" t="s">
        <v>2723</v>
      </c>
      <c r="B1035" t="s">
        <v>2724</v>
      </c>
      <c r="C1035" t="s">
        <v>2438</v>
      </c>
      <c r="D1035" t="s">
        <v>27</v>
      </c>
      <c r="E1035" t="s">
        <v>28</v>
      </c>
      <c r="F1035" t="s">
        <v>29</v>
      </c>
      <c r="G1035">
        <v>3</v>
      </c>
      <c r="H1035">
        <v>3547.73</v>
      </c>
      <c r="I1035">
        <v>0.1</v>
      </c>
      <c r="J1035">
        <v>9578.87</v>
      </c>
      <c r="K1035">
        <v>565.6</v>
      </c>
      <c r="L1035">
        <v>4.3</v>
      </c>
      <c r="M1035" s="53">
        <v>44983</v>
      </c>
      <c r="N1035" t="s">
        <v>22</v>
      </c>
      <c r="O1035" t="s">
        <v>44</v>
      </c>
      <c r="P1035" s="54">
        <v>0.0590466307612485</v>
      </c>
    </row>
    <row r="1036" spans="1:16">
      <c r="A1036" t="s">
        <v>2725</v>
      </c>
      <c r="B1036" t="s">
        <v>395</v>
      </c>
      <c r="C1036" t="s">
        <v>2726</v>
      </c>
      <c r="D1036" t="s">
        <v>40</v>
      </c>
      <c r="E1036" t="s">
        <v>174</v>
      </c>
      <c r="F1036" t="s">
        <v>199</v>
      </c>
      <c r="G1036">
        <v>2</v>
      </c>
      <c r="H1036">
        <v>12320.87</v>
      </c>
      <c r="I1036">
        <v>0.2</v>
      </c>
      <c r="J1036">
        <v>19713.39</v>
      </c>
      <c r="K1036">
        <v>3387.48</v>
      </c>
      <c r="L1036">
        <v>2.8</v>
      </c>
      <c r="M1036" s="53">
        <v>45144</v>
      </c>
      <c r="N1036" t="s">
        <v>22</v>
      </c>
      <c r="O1036" t="s">
        <v>57</v>
      </c>
      <c r="P1036" s="54">
        <v>0.171836503006332</v>
      </c>
    </row>
    <row r="1037" spans="1:16">
      <c r="A1037" t="s">
        <v>2727</v>
      </c>
      <c r="B1037" t="s">
        <v>2728</v>
      </c>
      <c r="C1037" t="s">
        <v>2729</v>
      </c>
      <c r="D1037" t="s">
        <v>27</v>
      </c>
      <c r="E1037" t="s">
        <v>117</v>
      </c>
      <c r="F1037" t="s">
        <v>192</v>
      </c>
      <c r="G1037">
        <v>1</v>
      </c>
      <c r="H1037">
        <v>12081.97</v>
      </c>
      <c r="I1037">
        <v>0.05</v>
      </c>
      <c r="J1037">
        <v>11477.87</v>
      </c>
      <c r="K1037">
        <v>2051.2</v>
      </c>
      <c r="L1037">
        <v>2.3</v>
      </c>
      <c r="M1037" s="53">
        <v>45636</v>
      </c>
      <c r="N1037" t="s">
        <v>30</v>
      </c>
      <c r="O1037" t="s">
        <v>23</v>
      </c>
      <c r="P1037" s="54">
        <v>0.178709115889969</v>
      </c>
    </row>
    <row r="1038" spans="1:16">
      <c r="A1038" t="s">
        <v>2730</v>
      </c>
      <c r="B1038" t="s">
        <v>2134</v>
      </c>
      <c r="C1038" t="s">
        <v>2731</v>
      </c>
      <c r="D1038" t="s">
        <v>40</v>
      </c>
      <c r="E1038" t="s">
        <v>262</v>
      </c>
      <c r="F1038" t="s">
        <v>385</v>
      </c>
      <c r="G1038">
        <v>5</v>
      </c>
      <c r="H1038">
        <v>8644.3</v>
      </c>
      <c r="I1038">
        <v>0.1</v>
      </c>
      <c r="J1038">
        <v>38899.35</v>
      </c>
      <c r="K1038">
        <v>7986.6</v>
      </c>
      <c r="L1038">
        <v>1.5</v>
      </c>
      <c r="M1038" s="53">
        <v>45090</v>
      </c>
      <c r="N1038" t="s">
        <v>43</v>
      </c>
      <c r="O1038" t="s">
        <v>23</v>
      </c>
      <c r="P1038" s="54">
        <v>0.205314484689333</v>
      </c>
    </row>
    <row r="1039" spans="1:16">
      <c r="A1039" t="s">
        <v>2732</v>
      </c>
      <c r="B1039" t="s">
        <v>1902</v>
      </c>
      <c r="C1039" t="s">
        <v>2733</v>
      </c>
      <c r="D1039" t="s">
        <v>27</v>
      </c>
      <c r="E1039" t="s">
        <v>233</v>
      </c>
      <c r="F1039" t="s">
        <v>234</v>
      </c>
      <c r="G1039">
        <v>3</v>
      </c>
      <c r="H1039">
        <v>14713.3</v>
      </c>
      <c r="I1039">
        <v>0.1</v>
      </c>
      <c r="J1039">
        <v>39725.91</v>
      </c>
      <c r="K1039">
        <v>2199.51</v>
      </c>
      <c r="L1039">
        <v>2.7</v>
      </c>
      <c r="M1039" s="53">
        <v>44939</v>
      </c>
      <c r="N1039" t="s">
        <v>30</v>
      </c>
      <c r="O1039" t="s">
        <v>31</v>
      </c>
      <c r="P1039" s="54">
        <v>0.0553671394815122</v>
      </c>
    </row>
    <row r="1040" spans="1:16">
      <c r="A1040" t="s">
        <v>2734</v>
      </c>
      <c r="B1040" t="s">
        <v>834</v>
      </c>
      <c r="C1040" t="s">
        <v>2735</v>
      </c>
      <c r="D1040" t="s">
        <v>40</v>
      </c>
      <c r="E1040" t="s">
        <v>174</v>
      </c>
      <c r="F1040" t="s">
        <v>175</v>
      </c>
      <c r="G1040">
        <v>2</v>
      </c>
      <c r="H1040">
        <v>17517.57</v>
      </c>
      <c r="I1040">
        <v>0.15</v>
      </c>
      <c r="J1040">
        <v>29779.87</v>
      </c>
      <c r="K1040">
        <v>4307.65</v>
      </c>
      <c r="L1040">
        <v>2.7</v>
      </c>
      <c r="M1040" s="53">
        <v>45532</v>
      </c>
      <c r="N1040" t="s">
        <v>43</v>
      </c>
      <c r="O1040" t="s">
        <v>73</v>
      </c>
      <c r="P1040" s="54">
        <v>0.144649724797321</v>
      </c>
    </row>
    <row r="1041" spans="1:16">
      <c r="A1041" t="s">
        <v>2736</v>
      </c>
      <c r="B1041" t="s">
        <v>1344</v>
      </c>
      <c r="C1041" t="s">
        <v>2737</v>
      </c>
      <c r="D1041" t="s">
        <v>53</v>
      </c>
      <c r="E1041" t="s">
        <v>54</v>
      </c>
      <c r="F1041" t="s">
        <v>109</v>
      </c>
      <c r="G1041">
        <v>4</v>
      </c>
      <c r="H1041">
        <v>7655.03</v>
      </c>
      <c r="I1041">
        <v>0.2</v>
      </c>
      <c r="J1041">
        <v>24496.1</v>
      </c>
      <c r="K1041">
        <v>3985.61</v>
      </c>
      <c r="L1041">
        <v>2.5</v>
      </c>
      <c r="M1041" s="53">
        <v>45059</v>
      </c>
      <c r="N1041" t="s">
        <v>22</v>
      </c>
      <c r="O1041" t="s">
        <v>44</v>
      </c>
      <c r="P1041" s="54">
        <v>0.162703858981634</v>
      </c>
    </row>
    <row r="1042" spans="1:16">
      <c r="A1042" t="s">
        <v>2738</v>
      </c>
      <c r="B1042" t="s">
        <v>2739</v>
      </c>
      <c r="C1042" t="s">
        <v>1432</v>
      </c>
      <c r="D1042" t="s">
        <v>27</v>
      </c>
      <c r="E1042" t="s">
        <v>48</v>
      </c>
      <c r="F1042" t="s">
        <v>49</v>
      </c>
      <c r="G1042">
        <v>5</v>
      </c>
      <c r="H1042">
        <v>13232.55</v>
      </c>
      <c r="I1042">
        <v>0.15</v>
      </c>
      <c r="J1042">
        <v>56238.34</v>
      </c>
      <c r="K1042">
        <v>6776.31</v>
      </c>
      <c r="L1042">
        <v>2.2</v>
      </c>
      <c r="M1042" s="53">
        <v>45227</v>
      </c>
      <c r="N1042" t="s">
        <v>56</v>
      </c>
      <c r="O1042" t="s">
        <v>57</v>
      </c>
      <c r="P1042" s="54">
        <v>0.120492710133336</v>
      </c>
    </row>
    <row r="1043" spans="1:16">
      <c r="A1043" t="s">
        <v>2740</v>
      </c>
      <c r="B1043" t="s">
        <v>2741</v>
      </c>
      <c r="C1043" t="s">
        <v>2742</v>
      </c>
      <c r="D1043" t="s">
        <v>19</v>
      </c>
      <c r="E1043" t="s">
        <v>129</v>
      </c>
      <c r="F1043" t="s">
        <v>320</v>
      </c>
      <c r="G1043">
        <v>4</v>
      </c>
      <c r="H1043">
        <v>16629.75</v>
      </c>
      <c r="I1043">
        <v>0</v>
      </c>
      <c r="J1043">
        <v>66519</v>
      </c>
      <c r="K1043">
        <v>3546.87</v>
      </c>
      <c r="L1043">
        <v>4.4</v>
      </c>
      <c r="M1043" s="53">
        <v>45071</v>
      </c>
      <c r="N1043" t="s">
        <v>56</v>
      </c>
      <c r="O1043" t="s">
        <v>44</v>
      </c>
      <c r="P1043" s="54">
        <v>0.0533211563613404</v>
      </c>
    </row>
    <row r="1044" spans="1:16">
      <c r="A1044" t="s">
        <v>2743</v>
      </c>
      <c r="B1044" t="s">
        <v>1290</v>
      </c>
      <c r="C1044" t="s">
        <v>2744</v>
      </c>
      <c r="D1044" t="s">
        <v>27</v>
      </c>
      <c r="E1044" t="s">
        <v>117</v>
      </c>
      <c r="F1044" t="s">
        <v>192</v>
      </c>
      <c r="G1044">
        <v>5</v>
      </c>
      <c r="H1044">
        <v>6348.2</v>
      </c>
      <c r="I1044">
        <v>0.05</v>
      </c>
      <c r="J1044">
        <v>30153.95</v>
      </c>
      <c r="K1044">
        <v>2037.81</v>
      </c>
      <c r="L1044">
        <v>3.2</v>
      </c>
      <c r="M1044" s="53">
        <v>45587</v>
      </c>
      <c r="N1044" t="s">
        <v>30</v>
      </c>
      <c r="O1044" t="s">
        <v>73</v>
      </c>
      <c r="P1044" s="54">
        <v>0.0675802009355325</v>
      </c>
    </row>
    <row r="1045" spans="1:16">
      <c r="A1045" t="s">
        <v>2745</v>
      </c>
      <c r="B1045" t="s">
        <v>2407</v>
      </c>
      <c r="C1045" t="s">
        <v>2746</v>
      </c>
      <c r="D1045" t="s">
        <v>27</v>
      </c>
      <c r="E1045" t="s">
        <v>28</v>
      </c>
      <c r="F1045" t="s">
        <v>105</v>
      </c>
      <c r="G1045">
        <v>5</v>
      </c>
      <c r="H1045">
        <v>6135.66</v>
      </c>
      <c r="I1045">
        <v>0.2</v>
      </c>
      <c r="J1045">
        <v>24542.64</v>
      </c>
      <c r="K1045">
        <v>5666.16</v>
      </c>
      <c r="L1045">
        <v>4.3</v>
      </c>
      <c r="M1045" s="53">
        <v>45354</v>
      </c>
      <c r="N1045" t="s">
        <v>56</v>
      </c>
      <c r="O1045" t="s">
        <v>23</v>
      </c>
      <c r="P1045" s="54">
        <v>0.230870028652174</v>
      </c>
    </row>
    <row r="1046" spans="1:16">
      <c r="A1046" t="s">
        <v>2747</v>
      </c>
      <c r="B1046" t="s">
        <v>696</v>
      </c>
      <c r="C1046" t="s">
        <v>1956</v>
      </c>
      <c r="D1046" t="s">
        <v>27</v>
      </c>
      <c r="E1046" t="s">
        <v>233</v>
      </c>
      <c r="F1046" t="s">
        <v>606</v>
      </c>
      <c r="G1046">
        <v>5</v>
      </c>
      <c r="H1046">
        <v>7292</v>
      </c>
      <c r="I1046">
        <v>0.1</v>
      </c>
      <c r="J1046">
        <v>32814</v>
      </c>
      <c r="K1046">
        <v>4526.31</v>
      </c>
      <c r="L1046">
        <v>4.1</v>
      </c>
      <c r="M1046" s="53">
        <v>45172</v>
      </c>
      <c r="N1046" t="s">
        <v>43</v>
      </c>
      <c r="O1046" t="s">
        <v>44</v>
      </c>
      <c r="P1046" s="54">
        <v>0.137938379959773</v>
      </c>
    </row>
    <row r="1047" spans="1:16">
      <c r="A1047" t="s">
        <v>2748</v>
      </c>
      <c r="B1047" t="s">
        <v>1329</v>
      </c>
      <c r="C1047" t="s">
        <v>2749</v>
      </c>
      <c r="D1047" t="s">
        <v>40</v>
      </c>
      <c r="E1047" t="s">
        <v>174</v>
      </c>
      <c r="F1047" t="s">
        <v>313</v>
      </c>
      <c r="G1047">
        <v>5</v>
      </c>
      <c r="H1047">
        <v>7575.74</v>
      </c>
      <c r="I1047">
        <v>0.1</v>
      </c>
      <c r="J1047">
        <v>34090.83</v>
      </c>
      <c r="K1047">
        <v>8333.16</v>
      </c>
      <c r="L1047">
        <v>4.7</v>
      </c>
      <c r="M1047" s="53">
        <v>45508</v>
      </c>
      <c r="N1047" t="s">
        <v>22</v>
      </c>
      <c r="O1047" t="s">
        <v>31</v>
      </c>
      <c r="P1047" s="54">
        <v>0.244439927100631</v>
      </c>
    </row>
    <row r="1048" spans="1:16">
      <c r="A1048" t="s">
        <v>2750</v>
      </c>
      <c r="B1048" t="s">
        <v>1217</v>
      </c>
      <c r="C1048" t="s">
        <v>2751</v>
      </c>
      <c r="D1048" t="s">
        <v>40</v>
      </c>
      <c r="E1048" t="s">
        <v>81</v>
      </c>
      <c r="F1048" t="s">
        <v>82</v>
      </c>
      <c r="G1048">
        <v>3</v>
      </c>
      <c r="H1048">
        <v>18018.22</v>
      </c>
      <c r="I1048">
        <v>0.1</v>
      </c>
      <c r="J1048">
        <v>48649.19</v>
      </c>
      <c r="K1048">
        <v>2644.8</v>
      </c>
      <c r="L1048">
        <v>1.3</v>
      </c>
      <c r="M1048" s="53">
        <v>45607</v>
      </c>
      <c r="N1048" t="s">
        <v>56</v>
      </c>
      <c r="O1048" t="s">
        <v>31</v>
      </c>
      <c r="P1048" s="54">
        <v>0.054364728374717</v>
      </c>
    </row>
    <row r="1049" spans="1:16">
      <c r="A1049" t="s">
        <v>2752</v>
      </c>
      <c r="B1049" t="s">
        <v>2753</v>
      </c>
      <c r="C1049" t="s">
        <v>2754</v>
      </c>
      <c r="D1049" t="s">
        <v>19</v>
      </c>
      <c r="E1049" t="s">
        <v>20</v>
      </c>
      <c r="F1049" t="s">
        <v>121</v>
      </c>
      <c r="G1049">
        <v>5</v>
      </c>
      <c r="H1049">
        <v>4321.28</v>
      </c>
      <c r="I1049">
        <v>0.15</v>
      </c>
      <c r="J1049">
        <v>18365.44</v>
      </c>
      <c r="K1049">
        <v>3294.61</v>
      </c>
      <c r="L1049">
        <v>1.1</v>
      </c>
      <c r="M1049" s="53">
        <v>45456</v>
      </c>
      <c r="N1049" t="s">
        <v>56</v>
      </c>
      <c r="O1049" t="s">
        <v>44</v>
      </c>
      <c r="P1049" s="54">
        <v>0.17939183597017</v>
      </c>
    </row>
    <row r="1050" spans="1:16">
      <c r="A1050" t="s">
        <v>2755</v>
      </c>
      <c r="B1050" t="s">
        <v>1323</v>
      </c>
      <c r="C1050" t="s">
        <v>2756</v>
      </c>
      <c r="D1050" t="s">
        <v>27</v>
      </c>
      <c r="E1050" t="s">
        <v>28</v>
      </c>
      <c r="F1050" t="s">
        <v>192</v>
      </c>
      <c r="G1050">
        <v>3</v>
      </c>
      <c r="H1050">
        <v>9908.15</v>
      </c>
      <c r="I1050">
        <v>0.1</v>
      </c>
      <c r="J1050">
        <v>26752</v>
      </c>
      <c r="K1050">
        <v>3814.01</v>
      </c>
      <c r="L1050">
        <v>2</v>
      </c>
      <c r="M1050" s="53">
        <v>45592</v>
      </c>
      <c r="N1050" t="s">
        <v>56</v>
      </c>
      <c r="O1050" t="s">
        <v>57</v>
      </c>
      <c r="P1050" s="54">
        <v>0.142569153708134</v>
      </c>
    </row>
    <row r="1051" spans="1:16">
      <c r="A1051" t="s">
        <v>2757</v>
      </c>
      <c r="B1051" t="s">
        <v>446</v>
      </c>
      <c r="C1051" t="s">
        <v>1381</v>
      </c>
      <c r="D1051" t="s">
        <v>40</v>
      </c>
      <c r="E1051" t="s">
        <v>262</v>
      </c>
      <c r="F1051" t="s">
        <v>773</v>
      </c>
      <c r="G1051">
        <v>3</v>
      </c>
      <c r="H1051">
        <v>7199.9</v>
      </c>
      <c r="I1051">
        <v>0</v>
      </c>
      <c r="J1051">
        <v>21599.7</v>
      </c>
      <c r="K1051">
        <v>2754.47</v>
      </c>
      <c r="L1051">
        <v>3.7</v>
      </c>
      <c r="M1051" s="53">
        <v>45569</v>
      </c>
      <c r="N1051" t="s">
        <v>30</v>
      </c>
      <c r="O1051" t="s">
        <v>73</v>
      </c>
      <c r="P1051" s="54">
        <v>0.127523530419404</v>
      </c>
    </row>
    <row r="1052" spans="1:16">
      <c r="A1052" t="s">
        <v>2758</v>
      </c>
      <c r="B1052" t="s">
        <v>713</v>
      </c>
      <c r="C1052" t="s">
        <v>2759</v>
      </c>
      <c r="D1052" t="s">
        <v>53</v>
      </c>
      <c r="E1052" t="s">
        <v>100</v>
      </c>
      <c r="F1052" t="s">
        <v>271</v>
      </c>
      <c r="G1052">
        <v>5</v>
      </c>
      <c r="H1052">
        <v>7417.29</v>
      </c>
      <c r="I1052">
        <v>0.1</v>
      </c>
      <c r="J1052">
        <v>33377.81</v>
      </c>
      <c r="K1052">
        <v>3105.57</v>
      </c>
      <c r="L1052">
        <v>4.2</v>
      </c>
      <c r="M1052" s="53">
        <v>45581</v>
      </c>
      <c r="N1052" t="s">
        <v>22</v>
      </c>
      <c r="O1052" t="s">
        <v>57</v>
      </c>
      <c r="P1052" s="54">
        <v>0.0930429527880949</v>
      </c>
    </row>
    <row r="1053" spans="1:16">
      <c r="A1053" t="s">
        <v>2760</v>
      </c>
      <c r="B1053" t="s">
        <v>1217</v>
      </c>
      <c r="C1053" t="s">
        <v>2761</v>
      </c>
      <c r="D1053" t="s">
        <v>53</v>
      </c>
      <c r="E1053" t="s">
        <v>95</v>
      </c>
      <c r="F1053" t="s">
        <v>271</v>
      </c>
      <c r="G1053">
        <v>1</v>
      </c>
      <c r="H1053">
        <v>3135.68</v>
      </c>
      <c r="I1053">
        <v>0</v>
      </c>
      <c r="J1053">
        <v>3135.68</v>
      </c>
      <c r="K1053">
        <v>164.5</v>
      </c>
      <c r="L1053">
        <v>2.2</v>
      </c>
      <c r="M1053" s="53">
        <v>45608</v>
      </c>
      <c r="N1053" t="s">
        <v>22</v>
      </c>
      <c r="O1053" t="s">
        <v>31</v>
      </c>
      <c r="P1053" s="54">
        <v>0.0524607102765589</v>
      </c>
    </row>
    <row r="1054" spans="1:16">
      <c r="A1054" t="s">
        <v>2762</v>
      </c>
      <c r="B1054" t="s">
        <v>2763</v>
      </c>
      <c r="C1054" t="s">
        <v>2764</v>
      </c>
      <c r="D1054" t="s">
        <v>53</v>
      </c>
      <c r="E1054" t="s">
        <v>100</v>
      </c>
      <c r="F1054" t="s">
        <v>271</v>
      </c>
      <c r="G1054">
        <v>1</v>
      </c>
      <c r="H1054">
        <v>19873.65</v>
      </c>
      <c r="I1054">
        <v>0</v>
      </c>
      <c r="J1054">
        <v>19873.65</v>
      </c>
      <c r="K1054">
        <v>4911.63</v>
      </c>
      <c r="L1054">
        <v>1.8</v>
      </c>
      <c r="M1054" s="53">
        <v>45313</v>
      </c>
      <c r="N1054" t="s">
        <v>56</v>
      </c>
      <c r="O1054" t="s">
        <v>73</v>
      </c>
      <c r="P1054" s="54">
        <v>0.247142824795647</v>
      </c>
    </row>
    <row r="1055" spans="1:16">
      <c r="A1055" t="s">
        <v>2765</v>
      </c>
      <c r="B1055" t="s">
        <v>834</v>
      </c>
      <c r="C1055" t="s">
        <v>2766</v>
      </c>
      <c r="D1055" t="s">
        <v>19</v>
      </c>
      <c r="E1055" t="s">
        <v>86</v>
      </c>
      <c r="F1055" t="s">
        <v>182</v>
      </c>
      <c r="G1055">
        <v>4</v>
      </c>
      <c r="H1055">
        <v>10608.28</v>
      </c>
      <c r="I1055">
        <v>0.1</v>
      </c>
      <c r="J1055">
        <v>38189.81</v>
      </c>
      <c r="K1055">
        <v>9524.24</v>
      </c>
      <c r="L1055">
        <v>1.9</v>
      </c>
      <c r="M1055" s="53">
        <v>45280</v>
      </c>
      <c r="N1055" t="s">
        <v>22</v>
      </c>
      <c r="O1055" t="s">
        <v>73</v>
      </c>
      <c r="P1055" s="54">
        <v>0.249392180793777</v>
      </c>
    </row>
    <row r="1056" spans="1:16">
      <c r="A1056" t="s">
        <v>2767</v>
      </c>
      <c r="B1056" t="s">
        <v>207</v>
      </c>
      <c r="C1056" t="s">
        <v>2768</v>
      </c>
      <c r="D1056" t="s">
        <v>19</v>
      </c>
      <c r="E1056" t="s">
        <v>129</v>
      </c>
      <c r="F1056" t="s">
        <v>167</v>
      </c>
      <c r="G1056">
        <v>4</v>
      </c>
      <c r="H1056">
        <v>14107.29</v>
      </c>
      <c r="I1056">
        <v>0</v>
      </c>
      <c r="J1056">
        <v>56429.16</v>
      </c>
      <c r="K1056">
        <v>3093.15</v>
      </c>
      <c r="L1056">
        <v>3.3</v>
      </c>
      <c r="M1056" s="53">
        <v>45195</v>
      </c>
      <c r="N1056" t="s">
        <v>56</v>
      </c>
      <c r="O1056" t="s">
        <v>57</v>
      </c>
      <c r="P1056" s="54">
        <v>0.0548147447170931</v>
      </c>
    </row>
    <row r="1057" spans="1:16">
      <c r="A1057" t="s">
        <v>2769</v>
      </c>
      <c r="B1057" t="s">
        <v>2101</v>
      </c>
      <c r="C1057" t="s">
        <v>2770</v>
      </c>
      <c r="D1057" t="s">
        <v>19</v>
      </c>
      <c r="E1057" t="s">
        <v>86</v>
      </c>
      <c r="F1057" t="s">
        <v>182</v>
      </c>
      <c r="G1057">
        <v>1</v>
      </c>
      <c r="H1057">
        <v>16801.59</v>
      </c>
      <c r="I1057">
        <v>0.05</v>
      </c>
      <c r="J1057">
        <v>15961.51</v>
      </c>
      <c r="K1057">
        <v>3605.13</v>
      </c>
      <c r="L1057">
        <v>4.8</v>
      </c>
      <c r="M1057" s="53">
        <v>45215</v>
      </c>
      <c r="N1057" t="s">
        <v>43</v>
      </c>
      <c r="O1057" t="s">
        <v>31</v>
      </c>
      <c r="P1057" s="54">
        <v>0.225863969010451</v>
      </c>
    </row>
    <row r="1058" spans="1:16">
      <c r="A1058" t="s">
        <v>2771</v>
      </c>
      <c r="B1058" t="s">
        <v>2678</v>
      </c>
      <c r="C1058" t="s">
        <v>2772</v>
      </c>
      <c r="D1058" t="s">
        <v>53</v>
      </c>
      <c r="E1058" t="s">
        <v>100</v>
      </c>
      <c r="F1058" t="s">
        <v>101</v>
      </c>
      <c r="G1058">
        <v>1</v>
      </c>
      <c r="H1058">
        <v>9492</v>
      </c>
      <c r="I1058">
        <v>0</v>
      </c>
      <c r="J1058">
        <v>9492</v>
      </c>
      <c r="K1058">
        <v>1552.37</v>
      </c>
      <c r="L1058">
        <v>3.9</v>
      </c>
      <c r="M1058" s="53">
        <v>45259</v>
      </c>
      <c r="N1058" t="s">
        <v>56</v>
      </c>
      <c r="O1058" t="s">
        <v>57</v>
      </c>
      <c r="P1058" s="54">
        <v>0.163545090602613</v>
      </c>
    </row>
    <row r="1059" spans="1:16">
      <c r="A1059" t="s">
        <v>2773</v>
      </c>
      <c r="B1059" t="s">
        <v>837</v>
      </c>
      <c r="C1059" t="s">
        <v>1638</v>
      </c>
      <c r="D1059" t="s">
        <v>53</v>
      </c>
      <c r="E1059" t="s">
        <v>100</v>
      </c>
      <c r="F1059" t="s">
        <v>271</v>
      </c>
      <c r="G1059">
        <v>2</v>
      </c>
      <c r="H1059">
        <v>9248.91</v>
      </c>
      <c r="I1059">
        <v>0.15</v>
      </c>
      <c r="J1059">
        <v>15723.15</v>
      </c>
      <c r="K1059">
        <v>3296.79</v>
      </c>
      <c r="L1059">
        <v>2.5</v>
      </c>
      <c r="M1059" s="53">
        <v>45589</v>
      </c>
      <c r="N1059" t="s">
        <v>43</v>
      </c>
      <c r="O1059" t="s">
        <v>57</v>
      </c>
      <c r="P1059" s="54">
        <v>0.209677450129268</v>
      </c>
    </row>
    <row r="1060" spans="1:16">
      <c r="A1060" t="s">
        <v>2774</v>
      </c>
      <c r="B1060" t="s">
        <v>2775</v>
      </c>
      <c r="C1060" t="s">
        <v>2776</v>
      </c>
      <c r="D1060" t="s">
        <v>40</v>
      </c>
      <c r="E1060" t="s">
        <v>174</v>
      </c>
      <c r="F1060" t="s">
        <v>199</v>
      </c>
      <c r="G1060">
        <v>3</v>
      </c>
      <c r="H1060">
        <v>7309.63</v>
      </c>
      <c r="I1060">
        <v>0</v>
      </c>
      <c r="J1060">
        <v>21928.89</v>
      </c>
      <c r="K1060">
        <v>1940.7</v>
      </c>
      <c r="L1060">
        <v>4.1</v>
      </c>
      <c r="M1060" s="53">
        <v>44981</v>
      </c>
      <c r="N1060" t="s">
        <v>43</v>
      </c>
      <c r="O1060" t="s">
        <v>73</v>
      </c>
      <c r="P1060" s="54">
        <v>0.0884996915028531</v>
      </c>
    </row>
    <row r="1061" spans="1:16">
      <c r="A1061" t="s">
        <v>2777</v>
      </c>
      <c r="B1061" t="s">
        <v>2778</v>
      </c>
      <c r="C1061" t="s">
        <v>2779</v>
      </c>
      <c r="D1061" t="s">
        <v>19</v>
      </c>
      <c r="E1061" t="s">
        <v>129</v>
      </c>
      <c r="F1061" t="s">
        <v>130</v>
      </c>
      <c r="G1061">
        <v>2</v>
      </c>
      <c r="H1061">
        <v>2500.71</v>
      </c>
      <c r="I1061">
        <v>0.15</v>
      </c>
      <c r="J1061">
        <v>4251.21</v>
      </c>
      <c r="K1061">
        <v>716.37</v>
      </c>
      <c r="L1061">
        <v>3.9</v>
      </c>
      <c r="M1061" s="53">
        <v>45212</v>
      </c>
      <c r="N1061" t="s">
        <v>43</v>
      </c>
      <c r="O1061" t="s">
        <v>23</v>
      </c>
      <c r="P1061" s="54">
        <v>0.168509671364153</v>
      </c>
    </row>
    <row r="1062" spans="1:16">
      <c r="A1062" t="s">
        <v>2780</v>
      </c>
      <c r="B1062" t="s">
        <v>2781</v>
      </c>
      <c r="C1062" t="s">
        <v>2782</v>
      </c>
      <c r="D1062" t="s">
        <v>53</v>
      </c>
      <c r="E1062" t="s">
        <v>71</v>
      </c>
      <c r="F1062" t="s">
        <v>72</v>
      </c>
      <c r="G1062">
        <v>2</v>
      </c>
      <c r="H1062">
        <v>19001.28</v>
      </c>
      <c r="I1062">
        <v>0.15</v>
      </c>
      <c r="J1062">
        <v>32302.18</v>
      </c>
      <c r="K1062">
        <v>3177.03</v>
      </c>
      <c r="L1062">
        <v>4.6</v>
      </c>
      <c r="M1062" s="53">
        <v>45239</v>
      </c>
      <c r="N1062" t="s">
        <v>30</v>
      </c>
      <c r="O1062" t="s">
        <v>31</v>
      </c>
      <c r="P1062" s="54">
        <v>0.0983534238246459</v>
      </c>
    </row>
    <row r="1063" spans="1:16">
      <c r="A1063" t="s">
        <v>2783</v>
      </c>
      <c r="B1063" t="s">
        <v>581</v>
      </c>
      <c r="C1063" t="s">
        <v>2784</v>
      </c>
      <c r="D1063" t="s">
        <v>40</v>
      </c>
      <c r="E1063" t="s">
        <v>174</v>
      </c>
      <c r="F1063" t="s">
        <v>202</v>
      </c>
      <c r="G1063">
        <v>5</v>
      </c>
      <c r="H1063">
        <v>16000.77</v>
      </c>
      <c r="I1063">
        <v>0.15</v>
      </c>
      <c r="J1063">
        <v>68003.27</v>
      </c>
      <c r="K1063">
        <v>8954.26</v>
      </c>
      <c r="L1063">
        <v>3.3</v>
      </c>
      <c r="M1063" s="53">
        <v>45457</v>
      </c>
      <c r="N1063" t="s">
        <v>30</v>
      </c>
      <c r="O1063" t="s">
        <v>57</v>
      </c>
      <c r="P1063" s="54">
        <v>0.131673962149173</v>
      </c>
    </row>
    <row r="1064" spans="1:16">
      <c r="A1064" t="s">
        <v>2785</v>
      </c>
      <c r="B1064" t="s">
        <v>507</v>
      </c>
      <c r="C1064" t="s">
        <v>2786</v>
      </c>
      <c r="D1064" t="s">
        <v>19</v>
      </c>
      <c r="E1064" t="s">
        <v>20</v>
      </c>
      <c r="F1064" t="s">
        <v>121</v>
      </c>
      <c r="G1064">
        <v>2</v>
      </c>
      <c r="H1064">
        <v>11961.38</v>
      </c>
      <c r="I1064">
        <v>0</v>
      </c>
      <c r="J1064">
        <v>23922.76</v>
      </c>
      <c r="K1064">
        <v>5800.06</v>
      </c>
      <c r="L1064">
        <v>4.5</v>
      </c>
      <c r="M1064" s="53">
        <v>45132</v>
      </c>
      <c r="N1064" t="s">
        <v>30</v>
      </c>
      <c r="O1064" t="s">
        <v>44</v>
      </c>
      <c r="P1064" s="54">
        <v>0.242449449812647</v>
      </c>
    </row>
    <row r="1065" spans="1:16">
      <c r="A1065" t="s">
        <v>2787</v>
      </c>
      <c r="B1065" t="s">
        <v>973</v>
      </c>
      <c r="C1065" t="s">
        <v>2735</v>
      </c>
      <c r="D1065" t="s">
        <v>53</v>
      </c>
      <c r="E1065" t="s">
        <v>54</v>
      </c>
      <c r="F1065" t="s">
        <v>258</v>
      </c>
      <c r="G1065">
        <v>5</v>
      </c>
      <c r="H1065">
        <v>10467.6</v>
      </c>
      <c r="I1065">
        <v>0.2</v>
      </c>
      <c r="J1065">
        <v>41870.4</v>
      </c>
      <c r="K1065">
        <v>6104.74</v>
      </c>
      <c r="L1065">
        <v>3.8</v>
      </c>
      <c r="M1065" s="53">
        <v>45645</v>
      </c>
      <c r="N1065" t="s">
        <v>22</v>
      </c>
      <c r="O1065" t="s">
        <v>44</v>
      </c>
      <c r="P1065" s="54">
        <v>0.145800852153311</v>
      </c>
    </row>
    <row r="1066" spans="1:16">
      <c r="A1066" t="s">
        <v>2788</v>
      </c>
      <c r="B1066" t="s">
        <v>765</v>
      </c>
      <c r="C1066" t="s">
        <v>2789</v>
      </c>
      <c r="D1066" t="s">
        <v>27</v>
      </c>
      <c r="E1066" t="s">
        <v>28</v>
      </c>
      <c r="F1066" t="s">
        <v>192</v>
      </c>
      <c r="G1066">
        <v>5</v>
      </c>
      <c r="H1066">
        <v>6219.76</v>
      </c>
      <c r="I1066">
        <v>0.05</v>
      </c>
      <c r="J1066">
        <v>29543.86</v>
      </c>
      <c r="K1066">
        <v>6492.21</v>
      </c>
      <c r="L1066">
        <v>4.5</v>
      </c>
      <c r="M1066" s="53">
        <v>45569</v>
      </c>
      <c r="N1066" t="s">
        <v>43</v>
      </c>
      <c r="O1066" t="s">
        <v>23</v>
      </c>
      <c r="P1066" s="54">
        <v>0.219748198102753</v>
      </c>
    </row>
    <row r="1067" spans="1:16">
      <c r="A1067" t="s">
        <v>2790</v>
      </c>
      <c r="B1067" t="s">
        <v>798</v>
      </c>
      <c r="C1067" t="s">
        <v>2791</v>
      </c>
      <c r="D1067" t="s">
        <v>19</v>
      </c>
      <c r="E1067" t="s">
        <v>20</v>
      </c>
      <c r="F1067" t="s">
        <v>454</v>
      </c>
      <c r="G1067">
        <v>3</v>
      </c>
      <c r="H1067">
        <v>7249.97</v>
      </c>
      <c r="I1067">
        <v>0.1</v>
      </c>
      <c r="J1067">
        <v>19574.92</v>
      </c>
      <c r="K1067">
        <v>3839.38</v>
      </c>
      <c r="L1067">
        <v>4.6</v>
      </c>
      <c r="M1067" s="53">
        <v>45623</v>
      </c>
      <c r="N1067" t="s">
        <v>22</v>
      </c>
      <c r="O1067" t="s">
        <v>44</v>
      </c>
      <c r="P1067" s="54">
        <v>0.196137710907631</v>
      </c>
    </row>
    <row r="1068" spans="1:16">
      <c r="A1068" t="s">
        <v>2792</v>
      </c>
      <c r="B1068" t="s">
        <v>2793</v>
      </c>
      <c r="C1068" t="s">
        <v>2794</v>
      </c>
      <c r="D1068" t="s">
        <v>53</v>
      </c>
      <c r="E1068" t="s">
        <v>95</v>
      </c>
      <c r="F1068" t="s">
        <v>524</v>
      </c>
      <c r="G1068">
        <v>4</v>
      </c>
      <c r="H1068">
        <v>12397.01</v>
      </c>
      <c r="I1068">
        <v>0.1</v>
      </c>
      <c r="J1068">
        <v>44629.24</v>
      </c>
      <c r="K1068">
        <v>6759.98</v>
      </c>
      <c r="L1068">
        <v>2.2</v>
      </c>
      <c r="M1068" s="53">
        <v>45405</v>
      </c>
      <c r="N1068" t="s">
        <v>22</v>
      </c>
      <c r="O1068" t="s">
        <v>73</v>
      </c>
      <c r="P1068" s="54">
        <v>0.151469753910217</v>
      </c>
    </row>
    <row r="1069" spans="1:16">
      <c r="A1069" t="s">
        <v>2795</v>
      </c>
      <c r="B1069" t="s">
        <v>2117</v>
      </c>
      <c r="C1069" t="s">
        <v>2796</v>
      </c>
      <c r="D1069" t="s">
        <v>27</v>
      </c>
      <c r="E1069" t="s">
        <v>48</v>
      </c>
      <c r="F1069" t="s">
        <v>77</v>
      </c>
      <c r="G1069">
        <v>4</v>
      </c>
      <c r="H1069">
        <v>10829.95</v>
      </c>
      <c r="I1069">
        <v>0.05</v>
      </c>
      <c r="J1069">
        <v>41153.81</v>
      </c>
      <c r="K1069">
        <v>10267.4</v>
      </c>
      <c r="L1069">
        <v>2.1</v>
      </c>
      <c r="M1069" s="53">
        <v>45342</v>
      </c>
      <c r="N1069" t="s">
        <v>56</v>
      </c>
      <c r="O1069" t="s">
        <v>73</v>
      </c>
      <c r="P1069" s="54">
        <v>0.249488443475829</v>
      </c>
    </row>
    <row r="1070" spans="1:16">
      <c r="A1070" t="s">
        <v>2797</v>
      </c>
      <c r="B1070" t="s">
        <v>98</v>
      </c>
      <c r="C1070" t="s">
        <v>2798</v>
      </c>
      <c r="D1070" t="s">
        <v>19</v>
      </c>
      <c r="E1070" t="s">
        <v>129</v>
      </c>
      <c r="F1070" t="s">
        <v>167</v>
      </c>
      <c r="G1070">
        <v>1</v>
      </c>
      <c r="H1070">
        <v>11142.34</v>
      </c>
      <c r="I1070">
        <v>0.15</v>
      </c>
      <c r="J1070">
        <v>9470.99</v>
      </c>
      <c r="K1070">
        <v>618.57</v>
      </c>
      <c r="L1070">
        <v>3.2</v>
      </c>
      <c r="M1070" s="53">
        <v>45386</v>
      </c>
      <c r="N1070" t="s">
        <v>22</v>
      </c>
      <c r="O1070" t="s">
        <v>57</v>
      </c>
      <c r="P1070" s="54">
        <v>0.0653120740281639</v>
      </c>
    </row>
    <row r="1071" spans="1:16">
      <c r="A1071" t="s">
        <v>2799</v>
      </c>
      <c r="B1071" t="s">
        <v>596</v>
      </c>
      <c r="C1071" t="s">
        <v>2800</v>
      </c>
      <c r="D1071" t="s">
        <v>27</v>
      </c>
      <c r="E1071" t="s">
        <v>28</v>
      </c>
      <c r="F1071" t="s">
        <v>105</v>
      </c>
      <c r="G1071">
        <v>1</v>
      </c>
      <c r="H1071">
        <v>17911.64</v>
      </c>
      <c r="I1071">
        <v>0.1</v>
      </c>
      <c r="J1071">
        <v>16120.48</v>
      </c>
      <c r="K1071">
        <v>2065.01</v>
      </c>
      <c r="L1071">
        <v>2.4</v>
      </c>
      <c r="M1071" s="53">
        <v>45303</v>
      </c>
      <c r="N1071" t="s">
        <v>43</v>
      </c>
      <c r="O1071" t="s">
        <v>57</v>
      </c>
      <c r="P1071" s="54">
        <v>0.128098542971425</v>
      </c>
    </row>
    <row r="1072" spans="1:16">
      <c r="A1072" t="s">
        <v>2801</v>
      </c>
      <c r="B1072" t="s">
        <v>1290</v>
      </c>
      <c r="C1072" t="s">
        <v>2802</v>
      </c>
      <c r="D1072" t="s">
        <v>53</v>
      </c>
      <c r="E1072" t="s">
        <v>100</v>
      </c>
      <c r="F1072" t="s">
        <v>267</v>
      </c>
      <c r="G1072">
        <v>2</v>
      </c>
      <c r="H1072">
        <v>3161.51</v>
      </c>
      <c r="I1072">
        <v>0</v>
      </c>
      <c r="J1072">
        <v>6323.02</v>
      </c>
      <c r="K1072">
        <v>1026.89</v>
      </c>
      <c r="L1072">
        <v>3.3</v>
      </c>
      <c r="M1072" s="53">
        <v>44996</v>
      </c>
      <c r="N1072" t="s">
        <v>43</v>
      </c>
      <c r="O1072" t="s">
        <v>73</v>
      </c>
      <c r="P1072" s="54">
        <v>0.162404990020591</v>
      </c>
    </row>
    <row r="1073" spans="1:16">
      <c r="A1073" t="s">
        <v>2803</v>
      </c>
      <c r="B1073" t="s">
        <v>2804</v>
      </c>
      <c r="C1073" t="s">
        <v>2805</v>
      </c>
      <c r="D1073" t="s">
        <v>53</v>
      </c>
      <c r="E1073" t="s">
        <v>100</v>
      </c>
      <c r="F1073" t="s">
        <v>267</v>
      </c>
      <c r="G1073">
        <v>4</v>
      </c>
      <c r="H1073">
        <v>17658.78</v>
      </c>
      <c r="I1073">
        <v>0.05</v>
      </c>
      <c r="J1073">
        <v>67103.36</v>
      </c>
      <c r="K1073">
        <v>7452.26</v>
      </c>
      <c r="L1073">
        <v>1</v>
      </c>
      <c r="M1073" s="53">
        <v>45504</v>
      </c>
      <c r="N1073" t="s">
        <v>56</v>
      </c>
      <c r="O1073" t="s">
        <v>44</v>
      </c>
      <c r="P1073" s="54">
        <v>0.111056435922136</v>
      </c>
    </row>
    <row r="1074" spans="1:16">
      <c r="A1074" t="s">
        <v>2806</v>
      </c>
      <c r="B1074" t="s">
        <v>540</v>
      </c>
      <c r="C1074" t="s">
        <v>2807</v>
      </c>
      <c r="D1074" t="s">
        <v>53</v>
      </c>
      <c r="E1074" t="s">
        <v>100</v>
      </c>
      <c r="F1074" t="s">
        <v>101</v>
      </c>
      <c r="G1074">
        <v>2</v>
      </c>
      <c r="H1074">
        <v>7064.35</v>
      </c>
      <c r="I1074">
        <v>0.1</v>
      </c>
      <c r="J1074">
        <v>12715.83</v>
      </c>
      <c r="K1074">
        <v>3100.27</v>
      </c>
      <c r="L1074">
        <v>2</v>
      </c>
      <c r="M1074" s="53">
        <v>45210</v>
      </c>
      <c r="N1074" t="s">
        <v>30</v>
      </c>
      <c r="O1074" t="s">
        <v>73</v>
      </c>
      <c r="P1074" s="54">
        <v>0.243811847122838</v>
      </c>
    </row>
    <row r="1075" spans="1:16">
      <c r="A1075" t="s">
        <v>2808</v>
      </c>
      <c r="B1075" t="s">
        <v>2095</v>
      </c>
      <c r="C1075" t="s">
        <v>2075</v>
      </c>
      <c r="D1075" t="s">
        <v>40</v>
      </c>
      <c r="E1075" t="s">
        <v>174</v>
      </c>
      <c r="F1075" t="s">
        <v>199</v>
      </c>
      <c r="G1075">
        <v>4</v>
      </c>
      <c r="H1075">
        <v>17543.21</v>
      </c>
      <c r="I1075">
        <v>0.15</v>
      </c>
      <c r="J1075">
        <v>59646.91</v>
      </c>
      <c r="K1075">
        <v>11622.01</v>
      </c>
      <c r="L1075">
        <v>4.7</v>
      </c>
      <c r="M1075" s="53">
        <v>45382</v>
      </c>
      <c r="N1075" t="s">
        <v>22</v>
      </c>
      <c r="O1075" t="s">
        <v>73</v>
      </c>
      <c r="P1075" s="54">
        <v>0.19484680765525</v>
      </c>
    </row>
    <row r="1076" spans="1:16">
      <c r="A1076" t="s">
        <v>2809</v>
      </c>
      <c r="B1076" t="s">
        <v>438</v>
      </c>
      <c r="C1076" t="s">
        <v>2810</v>
      </c>
      <c r="D1076" t="s">
        <v>40</v>
      </c>
      <c r="E1076" t="s">
        <v>262</v>
      </c>
      <c r="F1076" t="s">
        <v>385</v>
      </c>
      <c r="G1076">
        <v>2</v>
      </c>
      <c r="H1076">
        <v>8998.7</v>
      </c>
      <c r="I1076">
        <v>0.15</v>
      </c>
      <c r="J1076">
        <v>15297.79</v>
      </c>
      <c r="K1076">
        <v>3193.27</v>
      </c>
      <c r="L1076">
        <v>1.6</v>
      </c>
      <c r="M1076" s="53">
        <v>45542</v>
      </c>
      <c r="N1076" t="s">
        <v>56</v>
      </c>
      <c r="O1076" t="s">
        <v>57</v>
      </c>
      <c r="P1076" s="54">
        <v>0.208740608937631</v>
      </c>
    </row>
    <row r="1077" spans="1:16">
      <c r="A1077" t="s">
        <v>2811</v>
      </c>
      <c r="B1077" t="s">
        <v>2812</v>
      </c>
      <c r="C1077" t="s">
        <v>2813</v>
      </c>
      <c r="D1077" t="s">
        <v>40</v>
      </c>
      <c r="E1077" t="s">
        <v>41</v>
      </c>
      <c r="F1077" t="s">
        <v>125</v>
      </c>
      <c r="G1077">
        <v>1</v>
      </c>
      <c r="H1077">
        <v>11625.85</v>
      </c>
      <c r="I1077">
        <v>0.1</v>
      </c>
      <c r="J1077">
        <v>10463.27</v>
      </c>
      <c r="K1077">
        <v>774.43</v>
      </c>
      <c r="L1077">
        <v>2.4</v>
      </c>
      <c r="M1077" s="53">
        <v>45185</v>
      </c>
      <c r="N1077" t="s">
        <v>43</v>
      </c>
      <c r="O1077" t="s">
        <v>57</v>
      </c>
      <c r="P1077" s="54">
        <v>0.0740141466291131</v>
      </c>
    </row>
    <row r="1078" spans="1:16">
      <c r="A1078" t="s">
        <v>2814</v>
      </c>
      <c r="B1078" t="s">
        <v>762</v>
      </c>
      <c r="C1078" t="s">
        <v>2815</v>
      </c>
      <c r="D1078" t="s">
        <v>19</v>
      </c>
      <c r="E1078" t="s">
        <v>20</v>
      </c>
      <c r="F1078" t="s">
        <v>134</v>
      </c>
      <c r="G1078">
        <v>5</v>
      </c>
      <c r="H1078">
        <v>2004.84</v>
      </c>
      <c r="I1078">
        <v>0.05</v>
      </c>
      <c r="J1078">
        <v>9522.99</v>
      </c>
      <c r="K1078">
        <v>1480.3</v>
      </c>
      <c r="L1078">
        <v>2.7</v>
      </c>
      <c r="M1078" s="53">
        <v>45638</v>
      </c>
      <c r="N1078" t="s">
        <v>43</v>
      </c>
      <c r="O1078" t="s">
        <v>44</v>
      </c>
      <c r="P1078" s="54">
        <v>0.155444876031582</v>
      </c>
    </row>
    <row r="1079" spans="1:16">
      <c r="A1079" t="s">
        <v>2816</v>
      </c>
      <c r="B1079" t="s">
        <v>2054</v>
      </c>
      <c r="C1079" t="s">
        <v>2817</v>
      </c>
      <c r="D1079" t="s">
        <v>27</v>
      </c>
      <c r="E1079" t="s">
        <v>48</v>
      </c>
      <c r="F1079" t="s">
        <v>64</v>
      </c>
      <c r="G1079">
        <v>4</v>
      </c>
      <c r="H1079">
        <v>7501.14</v>
      </c>
      <c r="I1079">
        <v>0</v>
      </c>
      <c r="J1079">
        <v>30004.56</v>
      </c>
      <c r="K1079">
        <v>6092.67</v>
      </c>
      <c r="L1079">
        <v>1.8</v>
      </c>
      <c r="M1079" s="53">
        <v>45005</v>
      </c>
      <c r="N1079" t="s">
        <v>30</v>
      </c>
      <c r="O1079" t="s">
        <v>57</v>
      </c>
      <c r="P1079" s="54">
        <v>0.203058135163455</v>
      </c>
    </row>
    <row r="1080" spans="1:16">
      <c r="A1080" t="s">
        <v>2818</v>
      </c>
      <c r="B1080" t="s">
        <v>1922</v>
      </c>
      <c r="C1080" t="s">
        <v>2819</v>
      </c>
      <c r="D1080" t="s">
        <v>19</v>
      </c>
      <c r="E1080" t="s">
        <v>20</v>
      </c>
      <c r="F1080" t="s">
        <v>121</v>
      </c>
      <c r="G1080">
        <v>4</v>
      </c>
      <c r="H1080">
        <v>10378.38</v>
      </c>
      <c r="I1080">
        <v>0</v>
      </c>
      <c r="J1080">
        <v>41513.52</v>
      </c>
      <c r="K1080">
        <v>5365.89</v>
      </c>
      <c r="L1080">
        <v>4.7</v>
      </c>
      <c r="M1080" s="53">
        <v>45262</v>
      </c>
      <c r="N1080" t="s">
        <v>43</v>
      </c>
      <c r="O1080" t="s">
        <v>73</v>
      </c>
      <c r="P1080" s="54">
        <v>0.12925644464743</v>
      </c>
    </row>
    <row r="1081" spans="1:16">
      <c r="A1081" t="s">
        <v>2820</v>
      </c>
      <c r="B1081" t="s">
        <v>998</v>
      </c>
      <c r="C1081" t="s">
        <v>2821</v>
      </c>
      <c r="D1081" t="s">
        <v>19</v>
      </c>
      <c r="E1081" t="s">
        <v>35</v>
      </c>
      <c r="F1081" t="s">
        <v>36</v>
      </c>
      <c r="G1081">
        <v>2</v>
      </c>
      <c r="H1081">
        <v>19117.02</v>
      </c>
      <c r="I1081">
        <v>0.15</v>
      </c>
      <c r="J1081">
        <v>32498.93</v>
      </c>
      <c r="K1081">
        <v>2600.56</v>
      </c>
      <c r="L1081">
        <v>3.3</v>
      </c>
      <c r="M1081" s="53">
        <v>45302</v>
      </c>
      <c r="N1081" t="s">
        <v>30</v>
      </c>
      <c r="O1081" t="s">
        <v>31</v>
      </c>
      <c r="P1081" s="54">
        <v>0.0800198652694104</v>
      </c>
    </row>
    <row r="1082" spans="1:16">
      <c r="A1082" t="s">
        <v>2822</v>
      </c>
      <c r="B1082" t="s">
        <v>2823</v>
      </c>
      <c r="C1082" t="s">
        <v>2824</v>
      </c>
      <c r="D1082" t="s">
        <v>19</v>
      </c>
      <c r="E1082" t="s">
        <v>129</v>
      </c>
      <c r="F1082" t="s">
        <v>320</v>
      </c>
      <c r="G1082">
        <v>4</v>
      </c>
      <c r="H1082">
        <v>4342.73</v>
      </c>
      <c r="I1082">
        <v>0</v>
      </c>
      <c r="J1082">
        <v>17370.92</v>
      </c>
      <c r="K1082">
        <v>1786.15</v>
      </c>
      <c r="L1082">
        <v>2</v>
      </c>
      <c r="M1082" s="53">
        <v>45497</v>
      </c>
      <c r="N1082" t="s">
        <v>22</v>
      </c>
      <c r="O1082" t="s">
        <v>57</v>
      </c>
      <c r="P1082" s="54">
        <v>0.102824145180566</v>
      </c>
    </row>
    <row r="1083" spans="1:16">
      <c r="A1083" t="s">
        <v>2825</v>
      </c>
      <c r="B1083" t="s">
        <v>1540</v>
      </c>
      <c r="C1083" t="s">
        <v>2826</v>
      </c>
      <c r="D1083" t="s">
        <v>27</v>
      </c>
      <c r="E1083" t="s">
        <v>117</v>
      </c>
      <c r="F1083" t="s">
        <v>505</v>
      </c>
      <c r="G1083">
        <v>5</v>
      </c>
      <c r="H1083">
        <v>2763.93</v>
      </c>
      <c r="I1083">
        <v>0</v>
      </c>
      <c r="J1083">
        <v>13819.65</v>
      </c>
      <c r="K1083">
        <v>1566.09</v>
      </c>
      <c r="L1083">
        <v>4.2</v>
      </c>
      <c r="M1083" s="53">
        <v>45342</v>
      </c>
      <c r="N1083" t="s">
        <v>56</v>
      </c>
      <c r="O1083" t="s">
        <v>73</v>
      </c>
      <c r="P1083" s="54">
        <v>0.11332341991295</v>
      </c>
    </row>
    <row r="1084" spans="1:16">
      <c r="A1084" t="s">
        <v>2827</v>
      </c>
      <c r="B1084" t="s">
        <v>2828</v>
      </c>
      <c r="C1084" t="s">
        <v>2829</v>
      </c>
      <c r="D1084" t="s">
        <v>27</v>
      </c>
      <c r="E1084" t="s">
        <v>48</v>
      </c>
      <c r="F1084" t="s">
        <v>583</v>
      </c>
      <c r="G1084">
        <v>2</v>
      </c>
      <c r="H1084">
        <v>18934.88</v>
      </c>
      <c r="I1084">
        <v>0.1</v>
      </c>
      <c r="J1084">
        <v>34082.78</v>
      </c>
      <c r="K1084">
        <v>8415.36</v>
      </c>
      <c r="L1084">
        <v>2.7</v>
      </c>
      <c r="M1084" s="53">
        <v>44957</v>
      </c>
      <c r="N1084" t="s">
        <v>22</v>
      </c>
      <c r="O1084" t="s">
        <v>23</v>
      </c>
      <c r="P1084" s="54">
        <v>0.246909436378136</v>
      </c>
    </row>
    <row r="1085" spans="1:16">
      <c r="A1085" t="s">
        <v>2830</v>
      </c>
      <c r="B1085" t="s">
        <v>2831</v>
      </c>
      <c r="C1085" t="s">
        <v>2832</v>
      </c>
      <c r="D1085" t="s">
        <v>40</v>
      </c>
      <c r="E1085" t="s">
        <v>81</v>
      </c>
      <c r="F1085" t="s">
        <v>263</v>
      </c>
      <c r="G1085">
        <v>4</v>
      </c>
      <c r="H1085">
        <v>3873.93</v>
      </c>
      <c r="I1085">
        <v>0</v>
      </c>
      <c r="J1085">
        <v>15495.72</v>
      </c>
      <c r="K1085">
        <v>2665.9</v>
      </c>
      <c r="L1085">
        <v>1.6</v>
      </c>
      <c r="M1085" s="53">
        <v>45032</v>
      </c>
      <c r="N1085" t="s">
        <v>43</v>
      </c>
      <c r="O1085" t="s">
        <v>23</v>
      </c>
      <c r="P1085" s="54">
        <v>0.172041053916824</v>
      </c>
    </row>
    <row r="1086" spans="1:16">
      <c r="A1086" t="s">
        <v>2833</v>
      </c>
      <c r="B1086" t="s">
        <v>1930</v>
      </c>
      <c r="C1086" t="s">
        <v>2834</v>
      </c>
      <c r="D1086" t="s">
        <v>27</v>
      </c>
      <c r="E1086" t="s">
        <v>28</v>
      </c>
      <c r="F1086" t="s">
        <v>29</v>
      </c>
      <c r="G1086">
        <v>3</v>
      </c>
      <c r="H1086">
        <v>14400.66</v>
      </c>
      <c r="I1086">
        <v>0.2</v>
      </c>
      <c r="J1086">
        <v>34561.58</v>
      </c>
      <c r="K1086">
        <v>3474.13</v>
      </c>
      <c r="L1086">
        <v>1.3</v>
      </c>
      <c r="M1086" s="53">
        <v>45263</v>
      </c>
      <c r="N1086" t="s">
        <v>22</v>
      </c>
      <c r="O1086" t="s">
        <v>23</v>
      </c>
      <c r="P1086" s="54">
        <v>0.100519999375029</v>
      </c>
    </row>
    <row r="1087" spans="1:16">
      <c r="A1087" t="s">
        <v>2835</v>
      </c>
      <c r="B1087" t="s">
        <v>889</v>
      </c>
      <c r="C1087" t="s">
        <v>2836</v>
      </c>
      <c r="D1087" t="s">
        <v>19</v>
      </c>
      <c r="E1087" t="s">
        <v>35</v>
      </c>
      <c r="F1087" t="s">
        <v>36</v>
      </c>
      <c r="G1087">
        <v>1</v>
      </c>
      <c r="H1087">
        <v>4962.98</v>
      </c>
      <c r="I1087">
        <v>0</v>
      </c>
      <c r="J1087">
        <v>4962.98</v>
      </c>
      <c r="K1087">
        <v>1024.35</v>
      </c>
      <c r="L1087">
        <v>2.5</v>
      </c>
      <c r="M1087" s="53">
        <v>44931</v>
      </c>
      <c r="N1087" t="s">
        <v>30</v>
      </c>
      <c r="O1087" t="s">
        <v>44</v>
      </c>
      <c r="P1087" s="54">
        <v>0.206398172065976</v>
      </c>
    </row>
    <row r="1088" spans="1:16">
      <c r="A1088" t="s">
        <v>2837</v>
      </c>
      <c r="B1088" t="s">
        <v>1765</v>
      </c>
      <c r="C1088" t="s">
        <v>2838</v>
      </c>
      <c r="D1088" t="s">
        <v>40</v>
      </c>
      <c r="E1088" t="s">
        <v>81</v>
      </c>
      <c r="F1088" t="s">
        <v>263</v>
      </c>
      <c r="G1088">
        <v>5</v>
      </c>
      <c r="H1088">
        <v>13030.3</v>
      </c>
      <c r="I1088">
        <v>0.1</v>
      </c>
      <c r="J1088">
        <v>58636.35</v>
      </c>
      <c r="K1088">
        <v>12223.28</v>
      </c>
      <c r="L1088">
        <v>2.4</v>
      </c>
      <c r="M1088" s="53">
        <v>45117</v>
      </c>
      <c r="N1088" t="s">
        <v>43</v>
      </c>
      <c r="O1088" t="s">
        <v>73</v>
      </c>
      <c r="P1088" s="54">
        <v>0.208459087238547</v>
      </c>
    </row>
    <row r="1089" spans="1:16">
      <c r="A1089" t="s">
        <v>2839</v>
      </c>
      <c r="B1089" t="s">
        <v>2840</v>
      </c>
      <c r="C1089" t="s">
        <v>2841</v>
      </c>
      <c r="D1089" t="s">
        <v>53</v>
      </c>
      <c r="E1089" t="s">
        <v>71</v>
      </c>
      <c r="F1089" t="s">
        <v>150</v>
      </c>
      <c r="G1089">
        <v>1</v>
      </c>
      <c r="H1089">
        <v>9400.02</v>
      </c>
      <c r="I1089">
        <v>0.2</v>
      </c>
      <c r="J1089">
        <v>7520.02</v>
      </c>
      <c r="K1089">
        <v>1107.81</v>
      </c>
      <c r="L1089">
        <v>2.9</v>
      </c>
      <c r="M1089" s="53">
        <v>45230</v>
      </c>
      <c r="N1089" t="s">
        <v>30</v>
      </c>
      <c r="O1089" t="s">
        <v>31</v>
      </c>
      <c r="P1089" s="54">
        <v>0.147314767779873</v>
      </c>
    </row>
    <row r="1090" spans="1:16">
      <c r="A1090" t="s">
        <v>2842</v>
      </c>
      <c r="B1090" t="s">
        <v>2843</v>
      </c>
      <c r="C1090" t="s">
        <v>2844</v>
      </c>
      <c r="D1090" t="s">
        <v>53</v>
      </c>
      <c r="E1090" t="s">
        <v>54</v>
      </c>
      <c r="F1090" t="s">
        <v>109</v>
      </c>
      <c r="G1090">
        <v>4</v>
      </c>
      <c r="H1090">
        <v>7483.28</v>
      </c>
      <c r="I1090">
        <v>0.05</v>
      </c>
      <c r="J1090">
        <v>28436.46</v>
      </c>
      <c r="K1090">
        <v>4980.75</v>
      </c>
      <c r="L1090">
        <v>4.2</v>
      </c>
      <c r="M1090" s="53">
        <v>45160</v>
      </c>
      <c r="N1090" t="s">
        <v>22</v>
      </c>
      <c r="O1090" t="s">
        <v>57</v>
      </c>
      <c r="P1090" s="54">
        <v>0.175153658366759</v>
      </c>
    </row>
    <row r="1091" spans="1:16">
      <c r="A1091" t="s">
        <v>2845</v>
      </c>
      <c r="B1091" t="s">
        <v>1414</v>
      </c>
      <c r="C1091" t="s">
        <v>2846</v>
      </c>
      <c r="D1091" t="s">
        <v>53</v>
      </c>
      <c r="E1091" t="s">
        <v>95</v>
      </c>
      <c r="F1091" t="s">
        <v>96</v>
      </c>
      <c r="G1091">
        <v>3</v>
      </c>
      <c r="H1091">
        <v>7091.49</v>
      </c>
      <c r="I1091">
        <v>0.1</v>
      </c>
      <c r="J1091">
        <v>19147.02</v>
      </c>
      <c r="K1091">
        <v>3514.01</v>
      </c>
      <c r="L1091">
        <v>1.7</v>
      </c>
      <c r="M1091" s="53">
        <v>45406</v>
      </c>
      <c r="N1091" t="s">
        <v>30</v>
      </c>
      <c r="O1091" t="s">
        <v>31</v>
      </c>
      <c r="P1091" s="54">
        <v>0.183527776123909</v>
      </c>
    </row>
    <row r="1092" spans="1:16">
      <c r="A1092" t="s">
        <v>2847</v>
      </c>
      <c r="B1092" t="s">
        <v>1431</v>
      </c>
      <c r="C1092" t="s">
        <v>1874</v>
      </c>
      <c r="D1092" t="s">
        <v>53</v>
      </c>
      <c r="E1092" t="s">
        <v>54</v>
      </c>
      <c r="F1092" t="s">
        <v>109</v>
      </c>
      <c r="G1092">
        <v>5</v>
      </c>
      <c r="H1092">
        <v>7382.19</v>
      </c>
      <c r="I1092">
        <v>0</v>
      </c>
      <c r="J1092">
        <v>36910.95</v>
      </c>
      <c r="K1092">
        <v>3739.96</v>
      </c>
      <c r="L1092">
        <v>4.9</v>
      </c>
      <c r="M1092" s="53">
        <v>45050</v>
      </c>
      <c r="N1092" t="s">
        <v>22</v>
      </c>
      <c r="O1092" t="s">
        <v>73</v>
      </c>
      <c r="P1092" s="54">
        <v>0.101323861889223</v>
      </c>
    </row>
    <row r="1093" spans="1:16">
      <c r="A1093" t="s">
        <v>2848</v>
      </c>
      <c r="B1093" t="s">
        <v>1483</v>
      </c>
      <c r="C1093" t="s">
        <v>2849</v>
      </c>
      <c r="D1093" t="s">
        <v>40</v>
      </c>
      <c r="E1093" t="s">
        <v>81</v>
      </c>
      <c r="F1093" t="s">
        <v>358</v>
      </c>
      <c r="G1093">
        <v>2</v>
      </c>
      <c r="H1093">
        <v>11961.76</v>
      </c>
      <c r="I1093">
        <v>0.05</v>
      </c>
      <c r="J1093">
        <v>22727.34</v>
      </c>
      <c r="K1093">
        <v>2066.71</v>
      </c>
      <c r="L1093">
        <v>1.8</v>
      </c>
      <c r="M1093" s="53">
        <v>45373</v>
      </c>
      <c r="N1093" t="s">
        <v>43</v>
      </c>
      <c r="O1093" t="s">
        <v>23</v>
      </c>
      <c r="P1093" s="54">
        <v>0.0909349708324863</v>
      </c>
    </row>
    <row r="1094" spans="1:16">
      <c r="A1094" t="s">
        <v>2850</v>
      </c>
      <c r="B1094" t="s">
        <v>2851</v>
      </c>
      <c r="C1094" t="s">
        <v>2852</v>
      </c>
      <c r="D1094" t="s">
        <v>53</v>
      </c>
      <c r="E1094" t="s">
        <v>100</v>
      </c>
      <c r="F1094" t="s">
        <v>267</v>
      </c>
      <c r="G1094">
        <v>4</v>
      </c>
      <c r="H1094">
        <v>10822.45</v>
      </c>
      <c r="I1094">
        <v>0.15</v>
      </c>
      <c r="J1094">
        <v>36796.33</v>
      </c>
      <c r="K1094">
        <v>3629.94</v>
      </c>
      <c r="L1094">
        <v>1.4</v>
      </c>
      <c r="M1094" s="53">
        <v>45006</v>
      </c>
      <c r="N1094" t="s">
        <v>30</v>
      </c>
      <c r="O1094" t="s">
        <v>73</v>
      </c>
      <c r="P1094" s="54">
        <v>0.0986495120573166</v>
      </c>
    </row>
    <row r="1095" spans="1:16">
      <c r="A1095" t="s">
        <v>2853</v>
      </c>
      <c r="B1095" t="s">
        <v>1667</v>
      </c>
      <c r="C1095" t="s">
        <v>2854</v>
      </c>
      <c r="D1095" t="s">
        <v>27</v>
      </c>
      <c r="E1095" t="s">
        <v>233</v>
      </c>
      <c r="F1095" t="s">
        <v>606</v>
      </c>
      <c r="G1095">
        <v>5</v>
      </c>
      <c r="H1095">
        <v>7274.61</v>
      </c>
      <c r="I1095">
        <v>0.1</v>
      </c>
      <c r="J1095">
        <v>32735.74</v>
      </c>
      <c r="K1095">
        <v>3727.29</v>
      </c>
      <c r="L1095">
        <v>4.7</v>
      </c>
      <c r="M1095" s="53">
        <v>45165</v>
      </c>
      <c r="N1095" t="s">
        <v>56</v>
      </c>
      <c r="O1095" t="s">
        <v>44</v>
      </c>
      <c r="P1095" s="54">
        <v>0.113859958565165</v>
      </c>
    </row>
    <row r="1096" spans="1:16">
      <c r="A1096" t="s">
        <v>2855</v>
      </c>
      <c r="B1096" t="s">
        <v>2856</v>
      </c>
      <c r="C1096" t="s">
        <v>2857</v>
      </c>
      <c r="D1096" t="s">
        <v>27</v>
      </c>
      <c r="E1096" t="s">
        <v>48</v>
      </c>
      <c r="F1096" t="s">
        <v>583</v>
      </c>
      <c r="G1096">
        <v>5</v>
      </c>
      <c r="H1096">
        <v>16740.9</v>
      </c>
      <c r="I1096">
        <v>0.1</v>
      </c>
      <c r="J1096">
        <v>75334.05</v>
      </c>
      <c r="K1096">
        <v>6512.2</v>
      </c>
      <c r="L1096">
        <v>2.5</v>
      </c>
      <c r="M1096" s="53">
        <v>45479</v>
      </c>
      <c r="N1096" t="s">
        <v>56</v>
      </c>
      <c r="O1096" t="s">
        <v>44</v>
      </c>
      <c r="P1096" s="54">
        <v>0.0864443103749234</v>
      </c>
    </row>
    <row r="1097" spans="1:16">
      <c r="A1097" t="s">
        <v>2858</v>
      </c>
      <c r="B1097" t="s">
        <v>2859</v>
      </c>
      <c r="C1097" t="s">
        <v>2860</v>
      </c>
      <c r="D1097" t="s">
        <v>40</v>
      </c>
      <c r="E1097" t="s">
        <v>262</v>
      </c>
      <c r="F1097" t="s">
        <v>263</v>
      </c>
      <c r="G1097">
        <v>5</v>
      </c>
      <c r="H1097">
        <v>19178.49</v>
      </c>
      <c r="I1097">
        <v>0.05</v>
      </c>
      <c r="J1097">
        <v>91097.83</v>
      </c>
      <c r="K1097">
        <v>16171.58</v>
      </c>
      <c r="L1097">
        <v>2</v>
      </c>
      <c r="M1097" s="53">
        <v>45206</v>
      </c>
      <c r="N1097" t="s">
        <v>22</v>
      </c>
      <c r="O1097" t="s">
        <v>57</v>
      </c>
      <c r="P1097" s="54">
        <v>0.177518827835965</v>
      </c>
    </row>
    <row r="1098" spans="1:16">
      <c r="A1098" t="s">
        <v>2861</v>
      </c>
      <c r="B1098" t="s">
        <v>2520</v>
      </c>
      <c r="C1098" t="s">
        <v>2862</v>
      </c>
      <c r="D1098" t="s">
        <v>40</v>
      </c>
      <c r="E1098" t="s">
        <v>81</v>
      </c>
      <c r="F1098" t="s">
        <v>241</v>
      </c>
      <c r="G1098">
        <v>3</v>
      </c>
      <c r="H1098">
        <v>11040.16</v>
      </c>
      <c r="I1098">
        <v>0.2</v>
      </c>
      <c r="J1098">
        <v>26496.38</v>
      </c>
      <c r="K1098">
        <v>4085.17</v>
      </c>
      <c r="L1098">
        <v>4.2</v>
      </c>
      <c r="M1098" s="53">
        <v>45184</v>
      </c>
      <c r="N1098" t="s">
        <v>22</v>
      </c>
      <c r="O1098" t="s">
        <v>23</v>
      </c>
      <c r="P1098" s="54">
        <v>0.154178419844522</v>
      </c>
    </row>
    <row r="1099" spans="1:16">
      <c r="A1099" t="s">
        <v>2863</v>
      </c>
      <c r="B1099" t="s">
        <v>2344</v>
      </c>
      <c r="C1099" t="s">
        <v>2673</v>
      </c>
      <c r="D1099" t="s">
        <v>53</v>
      </c>
      <c r="E1099" t="s">
        <v>95</v>
      </c>
      <c r="F1099" t="s">
        <v>271</v>
      </c>
      <c r="G1099">
        <v>4</v>
      </c>
      <c r="H1099">
        <v>11992.83</v>
      </c>
      <c r="I1099">
        <v>0.05</v>
      </c>
      <c r="J1099">
        <v>45572.75</v>
      </c>
      <c r="K1099">
        <v>2587.36</v>
      </c>
      <c r="L1099">
        <v>1.1</v>
      </c>
      <c r="M1099" s="53">
        <v>45655</v>
      </c>
      <c r="N1099" t="s">
        <v>43</v>
      </c>
      <c r="O1099" t="s">
        <v>73</v>
      </c>
      <c r="P1099" s="54">
        <v>0.0567742784887899</v>
      </c>
    </row>
    <row r="1100" spans="1:16">
      <c r="A1100" t="s">
        <v>2864</v>
      </c>
      <c r="B1100" t="s">
        <v>2865</v>
      </c>
      <c r="C1100" t="s">
        <v>2866</v>
      </c>
      <c r="D1100" t="s">
        <v>19</v>
      </c>
      <c r="E1100" t="s">
        <v>35</v>
      </c>
      <c r="F1100" t="s">
        <v>245</v>
      </c>
      <c r="G1100">
        <v>2</v>
      </c>
      <c r="H1100">
        <v>6396.05</v>
      </c>
      <c r="I1100">
        <v>0</v>
      </c>
      <c r="J1100">
        <v>12792.1</v>
      </c>
      <c r="K1100">
        <v>2911.94</v>
      </c>
      <c r="L1100">
        <v>3.2</v>
      </c>
      <c r="M1100" s="53">
        <v>45509</v>
      </c>
      <c r="N1100" t="s">
        <v>43</v>
      </c>
      <c r="O1100" t="s">
        <v>73</v>
      </c>
      <c r="P1100" s="54">
        <v>0.227635806474308</v>
      </c>
    </row>
    <row r="1101" spans="1:16">
      <c r="A1101" t="s">
        <v>2867</v>
      </c>
      <c r="B1101" t="s">
        <v>1826</v>
      </c>
      <c r="C1101" t="s">
        <v>2868</v>
      </c>
      <c r="D1101" t="s">
        <v>19</v>
      </c>
      <c r="E1101" t="s">
        <v>129</v>
      </c>
      <c r="F1101" t="s">
        <v>167</v>
      </c>
      <c r="G1101">
        <v>2</v>
      </c>
      <c r="H1101">
        <v>8220.49</v>
      </c>
      <c r="I1101">
        <v>0</v>
      </c>
      <c r="J1101">
        <v>16440.98</v>
      </c>
      <c r="K1101">
        <v>1216.16</v>
      </c>
      <c r="L1101">
        <v>4.6</v>
      </c>
      <c r="M1101" s="53">
        <v>45140</v>
      </c>
      <c r="N1101" t="s">
        <v>30</v>
      </c>
      <c r="O1101" t="s">
        <v>73</v>
      </c>
      <c r="P1101" s="54">
        <v>0.0739712596207769</v>
      </c>
    </row>
    <row r="1102" spans="1:16">
      <c r="A1102" t="s">
        <v>2869</v>
      </c>
      <c r="B1102" t="s">
        <v>435</v>
      </c>
      <c r="C1102" t="s">
        <v>2870</v>
      </c>
      <c r="D1102" t="s">
        <v>27</v>
      </c>
      <c r="E1102" t="s">
        <v>233</v>
      </c>
      <c r="F1102" t="s">
        <v>234</v>
      </c>
      <c r="G1102">
        <v>3</v>
      </c>
      <c r="H1102">
        <v>14765.72</v>
      </c>
      <c r="I1102">
        <v>0.1</v>
      </c>
      <c r="J1102">
        <v>39867.44</v>
      </c>
      <c r="K1102">
        <v>4679.38</v>
      </c>
      <c r="L1102">
        <v>2.4</v>
      </c>
      <c r="M1102" s="53">
        <v>45413</v>
      </c>
      <c r="N1102" t="s">
        <v>56</v>
      </c>
      <c r="O1102" t="s">
        <v>44</v>
      </c>
      <c r="P1102" s="54">
        <v>0.117373475698465</v>
      </c>
    </row>
    <row r="1103" spans="1:16">
      <c r="A1103" t="s">
        <v>2871</v>
      </c>
      <c r="B1103" t="s">
        <v>1049</v>
      </c>
      <c r="C1103" t="s">
        <v>2872</v>
      </c>
      <c r="D1103" t="s">
        <v>27</v>
      </c>
      <c r="E1103" t="s">
        <v>28</v>
      </c>
      <c r="F1103" t="s">
        <v>225</v>
      </c>
      <c r="G1103">
        <v>3</v>
      </c>
      <c r="H1103">
        <v>5918.25</v>
      </c>
      <c r="I1103">
        <v>0.05</v>
      </c>
      <c r="J1103">
        <v>16867.01</v>
      </c>
      <c r="K1103">
        <v>3463.49</v>
      </c>
      <c r="L1103">
        <v>2.8</v>
      </c>
      <c r="M1103" s="53">
        <v>45029</v>
      </c>
      <c r="N1103" t="s">
        <v>56</v>
      </c>
      <c r="O1103" t="s">
        <v>44</v>
      </c>
      <c r="P1103" s="54">
        <v>0.205341077049222</v>
      </c>
    </row>
    <row r="1104" spans="1:16">
      <c r="A1104" t="s">
        <v>2873</v>
      </c>
      <c r="B1104" t="s">
        <v>1551</v>
      </c>
      <c r="C1104" t="s">
        <v>2874</v>
      </c>
      <c r="D1104" t="s">
        <v>19</v>
      </c>
      <c r="E1104" t="s">
        <v>35</v>
      </c>
      <c r="F1104" t="s">
        <v>121</v>
      </c>
      <c r="G1104">
        <v>2</v>
      </c>
      <c r="H1104">
        <v>4334.45</v>
      </c>
      <c r="I1104">
        <v>0.05</v>
      </c>
      <c r="J1104">
        <v>8235.45</v>
      </c>
      <c r="K1104">
        <v>1558.2</v>
      </c>
      <c r="L1104">
        <v>1.8</v>
      </c>
      <c r="M1104" s="53">
        <v>45119</v>
      </c>
      <c r="N1104" t="s">
        <v>43</v>
      </c>
      <c r="O1104" t="s">
        <v>44</v>
      </c>
      <c r="P1104" s="54">
        <v>0.189206418592791</v>
      </c>
    </row>
    <row r="1105" spans="1:16">
      <c r="A1105" t="s">
        <v>2875</v>
      </c>
      <c r="B1105" t="s">
        <v>2876</v>
      </c>
      <c r="C1105" t="s">
        <v>2877</v>
      </c>
      <c r="D1105" t="s">
        <v>19</v>
      </c>
      <c r="E1105" t="s">
        <v>20</v>
      </c>
      <c r="F1105" t="s">
        <v>121</v>
      </c>
      <c r="G1105">
        <v>2</v>
      </c>
      <c r="H1105">
        <v>9447.71</v>
      </c>
      <c r="I1105">
        <v>0.2</v>
      </c>
      <c r="J1105">
        <v>15116.34</v>
      </c>
      <c r="K1105">
        <v>2760.14</v>
      </c>
      <c r="L1105">
        <v>3.7</v>
      </c>
      <c r="M1105" s="53">
        <v>45407</v>
      </c>
      <c r="N1105" t="s">
        <v>43</v>
      </c>
      <c r="O1105" t="s">
        <v>44</v>
      </c>
      <c r="P1105" s="54">
        <v>0.182593140932263</v>
      </c>
    </row>
    <row r="1106" spans="1:16">
      <c r="A1106" t="s">
        <v>2878</v>
      </c>
      <c r="B1106" t="s">
        <v>1449</v>
      </c>
      <c r="C1106" t="s">
        <v>2879</v>
      </c>
      <c r="D1106" t="s">
        <v>19</v>
      </c>
      <c r="E1106" t="s">
        <v>20</v>
      </c>
      <c r="F1106" t="s">
        <v>21</v>
      </c>
      <c r="G1106">
        <v>1</v>
      </c>
      <c r="H1106">
        <v>13078.1</v>
      </c>
      <c r="I1106">
        <v>0.2</v>
      </c>
      <c r="J1106">
        <v>10462.48</v>
      </c>
      <c r="K1106">
        <v>2587.26</v>
      </c>
      <c r="L1106">
        <v>4.6</v>
      </c>
      <c r="M1106" s="53">
        <v>45446</v>
      </c>
      <c r="N1106" t="s">
        <v>30</v>
      </c>
      <c r="O1106" t="s">
        <v>23</v>
      </c>
      <c r="P1106" s="54">
        <v>0.247289361604515</v>
      </c>
    </row>
    <row r="1107" spans="1:16">
      <c r="A1107" t="s">
        <v>2880</v>
      </c>
      <c r="B1107" t="s">
        <v>2881</v>
      </c>
      <c r="C1107" t="s">
        <v>2882</v>
      </c>
      <c r="D1107" t="s">
        <v>40</v>
      </c>
      <c r="E1107" t="s">
        <v>41</v>
      </c>
      <c r="F1107" t="s">
        <v>154</v>
      </c>
      <c r="G1107">
        <v>5</v>
      </c>
      <c r="H1107">
        <v>745.8</v>
      </c>
      <c r="I1107">
        <v>0</v>
      </c>
      <c r="J1107">
        <v>3729</v>
      </c>
      <c r="K1107">
        <v>442</v>
      </c>
      <c r="L1107">
        <v>1.9</v>
      </c>
      <c r="M1107" s="53">
        <v>44972</v>
      </c>
      <c r="N1107" t="s">
        <v>22</v>
      </c>
      <c r="O1107" t="s">
        <v>23</v>
      </c>
      <c r="P1107" s="54">
        <v>0.118530437114508</v>
      </c>
    </row>
    <row r="1108" spans="1:16">
      <c r="A1108" t="s">
        <v>2883</v>
      </c>
      <c r="B1108" t="s">
        <v>526</v>
      </c>
      <c r="C1108" t="s">
        <v>2884</v>
      </c>
      <c r="D1108" t="s">
        <v>40</v>
      </c>
      <c r="E1108" t="s">
        <v>262</v>
      </c>
      <c r="F1108" t="s">
        <v>263</v>
      </c>
      <c r="G1108">
        <v>1</v>
      </c>
      <c r="H1108">
        <v>16371.03</v>
      </c>
      <c r="I1108">
        <v>0.15</v>
      </c>
      <c r="J1108">
        <v>13915.38</v>
      </c>
      <c r="K1108">
        <v>924.06</v>
      </c>
      <c r="L1108">
        <v>2.2</v>
      </c>
      <c r="M1108" s="53">
        <v>45468</v>
      </c>
      <c r="N1108" t="s">
        <v>22</v>
      </c>
      <c r="O1108" t="s">
        <v>73</v>
      </c>
      <c r="P1108" s="54">
        <v>0.0664056604993899</v>
      </c>
    </row>
    <row r="1109" spans="1:16">
      <c r="A1109" t="s">
        <v>2885</v>
      </c>
      <c r="B1109" t="s">
        <v>2886</v>
      </c>
      <c r="C1109" t="s">
        <v>2887</v>
      </c>
      <c r="D1109" t="s">
        <v>27</v>
      </c>
      <c r="E1109" t="s">
        <v>117</v>
      </c>
      <c r="F1109" t="s">
        <v>505</v>
      </c>
      <c r="G1109">
        <v>3</v>
      </c>
      <c r="H1109">
        <v>14768.09</v>
      </c>
      <c r="I1109">
        <v>0</v>
      </c>
      <c r="J1109">
        <v>44304.27</v>
      </c>
      <c r="K1109">
        <v>6165.73</v>
      </c>
      <c r="L1109">
        <v>4</v>
      </c>
      <c r="M1109" s="53">
        <v>45313</v>
      </c>
      <c r="N1109" t="s">
        <v>56</v>
      </c>
      <c r="O1109" t="s">
        <v>23</v>
      </c>
      <c r="P1109" s="54">
        <v>0.139167849961189</v>
      </c>
    </row>
    <row r="1110" spans="1:16">
      <c r="A1110" t="s">
        <v>2888</v>
      </c>
      <c r="B1110" t="s">
        <v>1449</v>
      </c>
      <c r="C1110" t="s">
        <v>2889</v>
      </c>
      <c r="D1110" t="s">
        <v>27</v>
      </c>
      <c r="E1110" t="s">
        <v>233</v>
      </c>
      <c r="F1110" t="s">
        <v>606</v>
      </c>
      <c r="G1110">
        <v>5</v>
      </c>
      <c r="H1110">
        <v>598.56</v>
      </c>
      <c r="I1110">
        <v>0</v>
      </c>
      <c r="J1110">
        <v>2992.8</v>
      </c>
      <c r="K1110">
        <v>499.51</v>
      </c>
      <c r="L1110">
        <v>1.5</v>
      </c>
      <c r="M1110" s="53">
        <v>45331</v>
      </c>
      <c r="N1110" t="s">
        <v>30</v>
      </c>
      <c r="O1110" t="s">
        <v>23</v>
      </c>
      <c r="P1110" s="54">
        <v>0.166903902699813</v>
      </c>
    </row>
    <row r="1111" spans="1:16">
      <c r="A1111" t="s">
        <v>2890</v>
      </c>
      <c r="B1111" t="s">
        <v>2550</v>
      </c>
      <c r="C1111" t="s">
        <v>2891</v>
      </c>
      <c r="D1111" t="s">
        <v>40</v>
      </c>
      <c r="E1111" t="s">
        <v>174</v>
      </c>
      <c r="F1111" t="s">
        <v>313</v>
      </c>
      <c r="G1111">
        <v>5</v>
      </c>
      <c r="H1111">
        <v>16707.31</v>
      </c>
      <c r="I1111">
        <v>0.2</v>
      </c>
      <c r="J1111">
        <v>66829.24</v>
      </c>
      <c r="K1111">
        <v>13941.67</v>
      </c>
      <c r="L1111">
        <v>4</v>
      </c>
      <c r="M1111" s="53">
        <v>45149</v>
      </c>
      <c r="N1111" t="s">
        <v>43</v>
      </c>
      <c r="O1111" t="s">
        <v>44</v>
      </c>
      <c r="P1111" s="54">
        <v>0.208616318246325</v>
      </c>
    </row>
    <row r="1112" spans="1:16">
      <c r="A1112" t="s">
        <v>2892</v>
      </c>
      <c r="B1112" t="s">
        <v>2893</v>
      </c>
      <c r="C1112" t="s">
        <v>2894</v>
      </c>
      <c r="D1112" t="s">
        <v>40</v>
      </c>
      <c r="E1112" t="s">
        <v>174</v>
      </c>
      <c r="F1112" t="s">
        <v>175</v>
      </c>
      <c r="G1112">
        <v>1</v>
      </c>
      <c r="H1112">
        <v>9130.64</v>
      </c>
      <c r="I1112">
        <v>0</v>
      </c>
      <c r="J1112">
        <v>9130.64</v>
      </c>
      <c r="K1112">
        <v>1247.38</v>
      </c>
      <c r="L1112">
        <v>5</v>
      </c>
      <c r="M1112" s="53">
        <v>45437</v>
      </c>
      <c r="N1112" t="s">
        <v>43</v>
      </c>
      <c r="O1112" t="s">
        <v>31</v>
      </c>
      <c r="P1112" s="54">
        <v>0.136614738944915</v>
      </c>
    </row>
    <row r="1113" spans="1:16">
      <c r="A1113" t="s">
        <v>2895</v>
      </c>
      <c r="B1113" t="s">
        <v>2896</v>
      </c>
      <c r="C1113" t="s">
        <v>2897</v>
      </c>
      <c r="D1113" t="s">
        <v>19</v>
      </c>
      <c r="E1113" t="s">
        <v>35</v>
      </c>
      <c r="F1113" t="s">
        <v>121</v>
      </c>
      <c r="G1113">
        <v>4</v>
      </c>
      <c r="H1113">
        <v>277.77</v>
      </c>
      <c r="I1113">
        <v>0.2</v>
      </c>
      <c r="J1113">
        <v>888.86</v>
      </c>
      <c r="K1113">
        <v>209.37</v>
      </c>
      <c r="L1113">
        <v>2.2</v>
      </c>
      <c r="M1113" s="53">
        <v>45231</v>
      </c>
      <c r="N1113" t="s">
        <v>56</v>
      </c>
      <c r="O1113" t="s">
        <v>23</v>
      </c>
      <c r="P1113" s="54">
        <v>0.235548905339423</v>
      </c>
    </row>
    <row r="1114" spans="1:16">
      <c r="A1114" t="s">
        <v>2898</v>
      </c>
      <c r="B1114" t="s">
        <v>2899</v>
      </c>
      <c r="C1114" t="s">
        <v>2900</v>
      </c>
      <c r="D1114" t="s">
        <v>27</v>
      </c>
      <c r="E1114" t="s">
        <v>28</v>
      </c>
      <c r="F1114" t="s">
        <v>192</v>
      </c>
      <c r="G1114">
        <v>5</v>
      </c>
      <c r="H1114">
        <v>18875.98</v>
      </c>
      <c r="I1114">
        <v>0</v>
      </c>
      <c r="J1114">
        <v>94379.9</v>
      </c>
      <c r="K1114">
        <v>18641.59</v>
      </c>
      <c r="L1114">
        <v>1.9</v>
      </c>
      <c r="M1114" s="53">
        <v>45205</v>
      </c>
      <c r="N1114" t="s">
        <v>30</v>
      </c>
      <c r="O1114" t="s">
        <v>73</v>
      </c>
      <c r="P1114" s="54">
        <v>0.197516526294264</v>
      </c>
    </row>
    <row r="1115" spans="1:16">
      <c r="A1115" t="s">
        <v>2901</v>
      </c>
      <c r="B1115" t="s">
        <v>1563</v>
      </c>
      <c r="C1115" t="s">
        <v>2902</v>
      </c>
      <c r="D1115" t="s">
        <v>19</v>
      </c>
      <c r="E1115" t="s">
        <v>86</v>
      </c>
      <c r="F1115" t="s">
        <v>87</v>
      </c>
      <c r="G1115">
        <v>1</v>
      </c>
      <c r="H1115">
        <v>2236.47</v>
      </c>
      <c r="I1115">
        <v>0.2</v>
      </c>
      <c r="J1115">
        <v>1789.18</v>
      </c>
      <c r="K1115">
        <v>334.78</v>
      </c>
      <c r="L1115">
        <v>3</v>
      </c>
      <c r="M1115" s="53">
        <v>45647</v>
      </c>
      <c r="N1115" t="s">
        <v>30</v>
      </c>
      <c r="O1115" t="s">
        <v>57</v>
      </c>
      <c r="P1115" s="54">
        <v>0.187113649828413</v>
      </c>
    </row>
    <row r="1116" spans="1:16">
      <c r="A1116" t="s">
        <v>2903</v>
      </c>
      <c r="B1116" t="s">
        <v>2904</v>
      </c>
      <c r="C1116" t="s">
        <v>2632</v>
      </c>
      <c r="D1116" t="s">
        <v>27</v>
      </c>
      <c r="E1116" t="s">
        <v>28</v>
      </c>
      <c r="F1116" t="s">
        <v>225</v>
      </c>
      <c r="G1116">
        <v>5</v>
      </c>
      <c r="H1116">
        <v>5366.95</v>
      </c>
      <c r="I1116">
        <v>0.05</v>
      </c>
      <c r="J1116">
        <v>25493.01</v>
      </c>
      <c r="K1116">
        <v>4779.86</v>
      </c>
      <c r="L1116">
        <v>2.3</v>
      </c>
      <c r="M1116" s="53">
        <v>45187</v>
      </c>
      <c r="N1116" t="s">
        <v>22</v>
      </c>
      <c r="O1116" t="s">
        <v>57</v>
      </c>
      <c r="P1116" s="54">
        <v>0.18749688640141</v>
      </c>
    </row>
    <row r="1117" spans="1:16">
      <c r="A1117" t="s">
        <v>2905</v>
      </c>
      <c r="B1117" t="s">
        <v>826</v>
      </c>
      <c r="C1117" t="s">
        <v>2906</v>
      </c>
      <c r="D1117" t="s">
        <v>40</v>
      </c>
      <c r="E1117" t="s">
        <v>41</v>
      </c>
      <c r="F1117" t="s">
        <v>42</v>
      </c>
      <c r="G1117">
        <v>4</v>
      </c>
      <c r="H1117">
        <v>3980.04</v>
      </c>
      <c r="I1117">
        <v>0.1</v>
      </c>
      <c r="J1117">
        <v>14328.14</v>
      </c>
      <c r="K1117">
        <v>1184.24</v>
      </c>
      <c r="L1117">
        <v>3.2</v>
      </c>
      <c r="M1117" s="53">
        <v>45403</v>
      </c>
      <c r="N1117" t="s">
        <v>30</v>
      </c>
      <c r="O1117" t="s">
        <v>44</v>
      </c>
      <c r="P1117" s="54">
        <v>0.0826513420443966</v>
      </c>
    </row>
    <row r="1118" spans="1:16">
      <c r="A1118" t="s">
        <v>2907</v>
      </c>
      <c r="B1118" t="s">
        <v>2684</v>
      </c>
      <c r="C1118" t="s">
        <v>2195</v>
      </c>
      <c r="D1118" t="s">
        <v>53</v>
      </c>
      <c r="E1118" t="s">
        <v>100</v>
      </c>
      <c r="F1118" t="s">
        <v>271</v>
      </c>
      <c r="G1118">
        <v>4</v>
      </c>
      <c r="H1118">
        <v>15295.7</v>
      </c>
      <c r="I1118">
        <v>0</v>
      </c>
      <c r="J1118">
        <v>61182.8</v>
      </c>
      <c r="K1118">
        <v>5371.15</v>
      </c>
      <c r="L1118">
        <v>4.9</v>
      </c>
      <c r="M1118" s="53">
        <v>45535</v>
      </c>
      <c r="N1118" t="s">
        <v>43</v>
      </c>
      <c r="O1118" t="s">
        <v>57</v>
      </c>
      <c r="P1118" s="54">
        <v>0.087788561491138</v>
      </c>
    </row>
    <row r="1119" spans="1:16">
      <c r="A1119" t="s">
        <v>2908</v>
      </c>
      <c r="B1119" t="s">
        <v>2909</v>
      </c>
      <c r="C1119" t="s">
        <v>2910</v>
      </c>
      <c r="D1119" t="s">
        <v>40</v>
      </c>
      <c r="E1119" t="s">
        <v>81</v>
      </c>
      <c r="F1119" t="s">
        <v>82</v>
      </c>
      <c r="G1119">
        <v>5</v>
      </c>
      <c r="H1119">
        <v>16894.94</v>
      </c>
      <c r="I1119">
        <v>0</v>
      </c>
      <c r="J1119">
        <v>84474.7</v>
      </c>
      <c r="K1119">
        <v>19992.08</v>
      </c>
      <c r="L1119">
        <v>4</v>
      </c>
      <c r="M1119" s="53">
        <v>44991</v>
      </c>
      <c r="N1119" t="s">
        <v>22</v>
      </c>
      <c r="O1119" t="s">
        <v>57</v>
      </c>
      <c r="P1119" s="54">
        <v>0.236663521740829</v>
      </c>
    </row>
    <row r="1120" spans="1:16">
      <c r="A1120" t="s">
        <v>2911</v>
      </c>
      <c r="B1120" t="s">
        <v>765</v>
      </c>
      <c r="C1120" t="s">
        <v>2912</v>
      </c>
      <c r="D1120" t="s">
        <v>53</v>
      </c>
      <c r="E1120" t="s">
        <v>54</v>
      </c>
      <c r="F1120" t="s">
        <v>55</v>
      </c>
      <c r="G1120">
        <v>5</v>
      </c>
      <c r="H1120">
        <v>3702.06</v>
      </c>
      <c r="I1120">
        <v>0.1</v>
      </c>
      <c r="J1120">
        <v>16659.27</v>
      </c>
      <c r="K1120">
        <v>2985.95</v>
      </c>
      <c r="L1120">
        <v>2</v>
      </c>
      <c r="M1120" s="53">
        <v>45555</v>
      </c>
      <c r="N1120" t="s">
        <v>22</v>
      </c>
      <c r="O1120" t="s">
        <v>73</v>
      </c>
      <c r="P1120" s="54">
        <v>0.17923654517875</v>
      </c>
    </row>
    <row r="1121" spans="1:16">
      <c r="A1121" t="s">
        <v>2913</v>
      </c>
      <c r="B1121" t="s">
        <v>2914</v>
      </c>
      <c r="C1121" t="s">
        <v>2915</v>
      </c>
      <c r="D1121" t="s">
        <v>27</v>
      </c>
      <c r="E1121" t="s">
        <v>48</v>
      </c>
      <c r="F1121" t="s">
        <v>583</v>
      </c>
      <c r="G1121">
        <v>1</v>
      </c>
      <c r="H1121">
        <v>12860.64</v>
      </c>
      <c r="I1121">
        <v>0</v>
      </c>
      <c r="J1121">
        <v>12860.64</v>
      </c>
      <c r="K1121">
        <v>2350.06</v>
      </c>
      <c r="L1121">
        <v>4.6</v>
      </c>
      <c r="M1121" s="53">
        <v>45427</v>
      </c>
      <c r="N1121" t="s">
        <v>22</v>
      </c>
      <c r="O1121" t="s">
        <v>44</v>
      </c>
      <c r="P1121" s="54">
        <v>0.182732741138855</v>
      </c>
    </row>
    <row r="1122" spans="1:16">
      <c r="A1122" t="s">
        <v>2916</v>
      </c>
      <c r="B1122" t="s">
        <v>2917</v>
      </c>
      <c r="C1122" t="s">
        <v>999</v>
      </c>
      <c r="D1122" t="s">
        <v>27</v>
      </c>
      <c r="E1122" t="s">
        <v>28</v>
      </c>
      <c r="F1122" t="s">
        <v>192</v>
      </c>
      <c r="G1122">
        <v>1</v>
      </c>
      <c r="H1122">
        <v>8556.54</v>
      </c>
      <c r="I1122">
        <v>0</v>
      </c>
      <c r="J1122">
        <v>8556.54</v>
      </c>
      <c r="K1122">
        <v>514.26</v>
      </c>
      <c r="L1122">
        <v>4</v>
      </c>
      <c r="M1122" s="53">
        <v>45279</v>
      </c>
      <c r="N1122" t="s">
        <v>22</v>
      </c>
      <c r="O1122" t="s">
        <v>57</v>
      </c>
      <c r="P1122" s="54">
        <v>0.0601013961250692</v>
      </c>
    </row>
    <row r="1123" spans="1:16">
      <c r="A1123" t="s">
        <v>2918</v>
      </c>
      <c r="B1123" t="s">
        <v>2108</v>
      </c>
      <c r="C1123" t="s">
        <v>2919</v>
      </c>
      <c r="D1123" t="s">
        <v>40</v>
      </c>
      <c r="E1123" t="s">
        <v>262</v>
      </c>
      <c r="F1123" t="s">
        <v>345</v>
      </c>
      <c r="G1123">
        <v>3</v>
      </c>
      <c r="H1123">
        <v>2034.15</v>
      </c>
      <c r="I1123">
        <v>0.15</v>
      </c>
      <c r="J1123">
        <v>5187.08</v>
      </c>
      <c r="K1123">
        <v>897.77</v>
      </c>
      <c r="L1123">
        <v>1.4</v>
      </c>
      <c r="M1123" s="53">
        <v>45137</v>
      </c>
      <c r="N1123" t="s">
        <v>22</v>
      </c>
      <c r="O1123" t="s">
        <v>23</v>
      </c>
      <c r="P1123" s="54">
        <v>0.173078109456573</v>
      </c>
    </row>
    <row r="1124" spans="1:16">
      <c r="A1124" t="s">
        <v>2920</v>
      </c>
      <c r="B1124" t="s">
        <v>906</v>
      </c>
      <c r="C1124" t="s">
        <v>2921</v>
      </c>
      <c r="D1124" t="s">
        <v>27</v>
      </c>
      <c r="E1124" t="s">
        <v>117</v>
      </c>
      <c r="F1124" t="s">
        <v>118</v>
      </c>
      <c r="G1124">
        <v>1</v>
      </c>
      <c r="H1124">
        <v>6962.06</v>
      </c>
      <c r="I1124">
        <v>0.05</v>
      </c>
      <c r="J1124">
        <v>6613.96</v>
      </c>
      <c r="K1124">
        <v>1453.13</v>
      </c>
      <c r="L1124">
        <v>4</v>
      </c>
      <c r="M1124" s="53">
        <v>45655</v>
      </c>
      <c r="N1124" t="s">
        <v>30</v>
      </c>
      <c r="O1124" t="s">
        <v>44</v>
      </c>
      <c r="P1124" s="54">
        <v>0.219706499585725</v>
      </c>
    </row>
    <row r="1125" spans="1:16">
      <c r="A1125" t="s">
        <v>2922</v>
      </c>
      <c r="B1125" t="s">
        <v>2923</v>
      </c>
      <c r="C1125" t="s">
        <v>2924</v>
      </c>
      <c r="D1125" t="s">
        <v>53</v>
      </c>
      <c r="E1125" t="s">
        <v>71</v>
      </c>
      <c r="F1125" t="s">
        <v>72</v>
      </c>
      <c r="G1125">
        <v>3</v>
      </c>
      <c r="H1125">
        <v>3422.82</v>
      </c>
      <c r="I1125">
        <v>0.15</v>
      </c>
      <c r="J1125">
        <v>8728.19</v>
      </c>
      <c r="K1125">
        <v>688.96</v>
      </c>
      <c r="L1125">
        <v>5</v>
      </c>
      <c r="M1125" s="53">
        <v>45105</v>
      </c>
      <c r="N1125" t="s">
        <v>43</v>
      </c>
      <c r="O1125" t="s">
        <v>31</v>
      </c>
      <c r="P1125" s="54">
        <v>0.0789350369320558</v>
      </c>
    </row>
    <row r="1126" spans="1:16">
      <c r="A1126" t="s">
        <v>2925</v>
      </c>
      <c r="B1126" t="s">
        <v>2926</v>
      </c>
      <c r="C1126" t="s">
        <v>2927</v>
      </c>
      <c r="D1126" t="s">
        <v>53</v>
      </c>
      <c r="E1126" t="s">
        <v>100</v>
      </c>
      <c r="F1126" t="s">
        <v>267</v>
      </c>
      <c r="G1126">
        <v>5</v>
      </c>
      <c r="H1126">
        <v>7437.4</v>
      </c>
      <c r="I1126">
        <v>0.05</v>
      </c>
      <c r="J1126">
        <v>35327.65</v>
      </c>
      <c r="K1126">
        <v>3292.27</v>
      </c>
      <c r="L1126">
        <v>4.4</v>
      </c>
      <c r="M1126" s="53">
        <v>45222</v>
      </c>
      <c r="N1126" t="s">
        <v>56</v>
      </c>
      <c r="O1126" t="s">
        <v>44</v>
      </c>
      <c r="P1126" s="54">
        <v>0.0931924427466871</v>
      </c>
    </row>
    <row r="1127" spans="1:16">
      <c r="A1127" t="s">
        <v>2928</v>
      </c>
      <c r="B1127" t="s">
        <v>213</v>
      </c>
      <c r="C1127" t="s">
        <v>2357</v>
      </c>
      <c r="D1127" t="s">
        <v>27</v>
      </c>
      <c r="E1127" t="s">
        <v>117</v>
      </c>
      <c r="F1127" t="s">
        <v>505</v>
      </c>
      <c r="G1127">
        <v>3</v>
      </c>
      <c r="H1127">
        <v>8771.18</v>
      </c>
      <c r="I1127">
        <v>0.2</v>
      </c>
      <c r="J1127">
        <v>21050.83</v>
      </c>
      <c r="K1127">
        <v>3544.56</v>
      </c>
      <c r="L1127">
        <v>2.1</v>
      </c>
      <c r="M1127" s="53">
        <v>45536</v>
      </c>
      <c r="N1127" t="s">
        <v>43</v>
      </c>
      <c r="O1127" t="s">
        <v>23</v>
      </c>
      <c r="P1127" s="54">
        <v>0.168381009204863</v>
      </c>
    </row>
    <row r="1128" spans="1:16">
      <c r="A1128" t="s">
        <v>2929</v>
      </c>
      <c r="B1128" t="s">
        <v>2930</v>
      </c>
      <c r="C1128" t="s">
        <v>2931</v>
      </c>
      <c r="D1128" t="s">
        <v>53</v>
      </c>
      <c r="E1128" t="s">
        <v>54</v>
      </c>
      <c r="F1128" t="s">
        <v>249</v>
      </c>
      <c r="G1128">
        <v>1</v>
      </c>
      <c r="H1128">
        <v>2854.27</v>
      </c>
      <c r="I1128">
        <v>0.1</v>
      </c>
      <c r="J1128">
        <v>2568.84</v>
      </c>
      <c r="K1128">
        <v>569.93</v>
      </c>
      <c r="L1128">
        <v>1.5</v>
      </c>
      <c r="M1128" s="53">
        <v>45517</v>
      </c>
      <c r="N1128" t="s">
        <v>30</v>
      </c>
      <c r="O1128" t="s">
        <v>31</v>
      </c>
      <c r="P1128" s="54">
        <v>0.221862786316003</v>
      </c>
    </row>
    <row r="1129" spans="1:16">
      <c r="A1129" t="s">
        <v>2932</v>
      </c>
      <c r="B1129" t="s">
        <v>2139</v>
      </c>
      <c r="C1129" t="s">
        <v>2933</v>
      </c>
      <c r="D1129" t="s">
        <v>40</v>
      </c>
      <c r="E1129" t="s">
        <v>41</v>
      </c>
      <c r="F1129" t="s">
        <v>154</v>
      </c>
      <c r="G1129">
        <v>4</v>
      </c>
      <c r="H1129">
        <v>6269.78</v>
      </c>
      <c r="I1129">
        <v>0.1</v>
      </c>
      <c r="J1129">
        <v>22571.21</v>
      </c>
      <c r="K1129">
        <v>3882.95</v>
      </c>
      <c r="L1129">
        <v>2.6</v>
      </c>
      <c r="M1129" s="53">
        <v>45349</v>
      </c>
      <c r="N1129" t="s">
        <v>30</v>
      </c>
      <c r="O1129" t="s">
        <v>57</v>
      </c>
      <c r="P1129" s="54">
        <v>0.172031096250489</v>
      </c>
    </row>
    <row r="1130" spans="1:16">
      <c r="A1130" t="s">
        <v>2934</v>
      </c>
      <c r="B1130" t="s">
        <v>2926</v>
      </c>
      <c r="C1130" t="s">
        <v>2935</v>
      </c>
      <c r="D1130" t="s">
        <v>27</v>
      </c>
      <c r="E1130" t="s">
        <v>233</v>
      </c>
      <c r="F1130" t="s">
        <v>362</v>
      </c>
      <c r="G1130">
        <v>1</v>
      </c>
      <c r="H1130">
        <v>7920.13</v>
      </c>
      <c r="I1130">
        <v>0.2</v>
      </c>
      <c r="J1130">
        <v>6336.1</v>
      </c>
      <c r="K1130">
        <v>1483.93</v>
      </c>
      <c r="L1130">
        <v>3.2</v>
      </c>
      <c r="M1130" s="53">
        <v>45052</v>
      </c>
      <c r="N1130" t="s">
        <v>43</v>
      </c>
      <c r="O1130" t="s">
        <v>73</v>
      </c>
      <c r="P1130" s="54">
        <v>0.234202427360679</v>
      </c>
    </row>
    <row r="1131" spans="1:16">
      <c r="A1131" t="s">
        <v>2936</v>
      </c>
      <c r="B1131" t="s">
        <v>1930</v>
      </c>
      <c r="C1131" t="s">
        <v>2937</v>
      </c>
      <c r="D1131" t="s">
        <v>19</v>
      </c>
      <c r="E1131" t="s">
        <v>86</v>
      </c>
      <c r="F1131" t="s">
        <v>182</v>
      </c>
      <c r="G1131">
        <v>3</v>
      </c>
      <c r="H1131">
        <v>3707.96</v>
      </c>
      <c r="I1131">
        <v>0</v>
      </c>
      <c r="J1131">
        <v>11123.88</v>
      </c>
      <c r="K1131">
        <v>1362.56</v>
      </c>
      <c r="L1131">
        <v>1.5</v>
      </c>
      <c r="M1131" s="53">
        <v>45248</v>
      </c>
      <c r="N1131" t="s">
        <v>22</v>
      </c>
      <c r="O1131" t="s">
        <v>31</v>
      </c>
      <c r="P1131" s="54">
        <v>0.12248963491156</v>
      </c>
    </row>
    <row r="1132" spans="1:16">
      <c r="A1132" t="s">
        <v>2938</v>
      </c>
      <c r="B1132" t="s">
        <v>2269</v>
      </c>
      <c r="C1132" t="s">
        <v>2939</v>
      </c>
      <c r="D1132" t="s">
        <v>40</v>
      </c>
      <c r="E1132" t="s">
        <v>41</v>
      </c>
      <c r="F1132" t="s">
        <v>42</v>
      </c>
      <c r="G1132">
        <v>1</v>
      </c>
      <c r="H1132">
        <v>14444.8</v>
      </c>
      <c r="I1132">
        <v>0</v>
      </c>
      <c r="J1132">
        <v>14444.8</v>
      </c>
      <c r="K1132">
        <v>2805.47</v>
      </c>
      <c r="L1132">
        <v>1</v>
      </c>
      <c r="M1132" s="53">
        <v>45244</v>
      </c>
      <c r="N1132" t="s">
        <v>43</v>
      </c>
      <c r="O1132" t="s">
        <v>31</v>
      </c>
      <c r="P1132" s="54">
        <v>0.194220065352237</v>
      </c>
    </row>
    <row r="1133" spans="1:16">
      <c r="A1133" t="s">
        <v>2940</v>
      </c>
      <c r="B1133" t="s">
        <v>2941</v>
      </c>
      <c r="C1133" t="s">
        <v>2942</v>
      </c>
      <c r="D1133" t="s">
        <v>40</v>
      </c>
      <c r="E1133" t="s">
        <v>174</v>
      </c>
      <c r="F1133" t="s">
        <v>313</v>
      </c>
      <c r="G1133">
        <v>2</v>
      </c>
      <c r="H1133">
        <v>18266.49</v>
      </c>
      <c r="I1133">
        <v>0</v>
      </c>
      <c r="J1133">
        <v>36532.98</v>
      </c>
      <c r="K1133">
        <v>8781.02</v>
      </c>
      <c r="L1133">
        <v>2.4</v>
      </c>
      <c r="M1133" s="53">
        <v>45258</v>
      </c>
      <c r="N1133" t="s">
        <v>22</v>
      </c>
      <c r="O1133" t="s">
        <v>23</v>
      </c>
      <c r="P1133" s="54">
        <v>0.240358711498487</v>
      </c>
    </row>
    <row r="1134" spans="1:16">
      <c r="A1134" t="s">
        <v>2943</v>
      </c>
      <c r="B1134" t="s">
        <v>2944</v>
      </c>
      <c r="C1134" t="s">
        <v>2945</v>
      </c>
      <c r="D1134" t="s">
        <v>27</v>
      </c>
      <c r="E1134" t="s">
        <v>28</v>
      </c>
      <c r="F1134" t="s">
        <v>29</v>
      </c>
      <c r="G1134">
        <v>2</v>
      </c>
      <c r="H1134">
        <v>16718.46</v>
      </c>
      <c r="I1134">
        <v>0</v>
      </c>
      <c r="J1134">
        <v>33436.92</v>
      </c>
      <c r="K1134">
        <v>4298.85</v>
      </c>
      <c r="L1134">
        <v>2.6</v>
      </c>
      <c r="M1134" s="53">
        <v>45250</v>
      </c>
      <c r="N1134" t="s">
        <v>43</v>
      </c>
      <c r="O1134" t="s">
        <v>31</v>
      </c>
      <c r="P1134" s="54">
        <v>0.128565968396611</v>
      </c>
    </row>
    <row r="1135" spans="1:16">
      <c r="A1135" t="s">
        <v>2946</v>
      </c>
      <c r="B1135" t="s">
        <v>2947</v>
      </c>
      <c r="C1135" t="s">
        <v>2948</v>
      </c>
      <c r="D1135" t="s">
        <v>53</v>
      </c>
      <c r="E1135" t="s">
        <v>54</v>
      </c>
      <c r="F1135" t="s">
        <v>55</v>
      </c>
      <c r="G1135">
        <v>2</v>
      </c>
      <c r="H1135">
        <v>16709.28</v>
      </c>
      <c r="I1135">
        <v>0.1</v>
      </c>
      <c r="J1135">
        <v>30076.7</v>
      </c>
      <c r="K1135">
        <v>6112.56</v>
      </c>
      <c r="L1135">
        <v>1.4</v>
      </c>
      <c r="M1135" s="53">
        <v>45651</v>
      </c>
      <c r="N1135" t="s">
        <v>43</v>
      </c>
      <c r="O1135" t="s">
        <v>23</v>
      </c>
      <c r="P1135" s="54">
        <v>0.203232402490965</v>
      </c>
    </row>
    <row r="1136" spans="1:16">
      <c r="A1136" t="s">
        <v>2949</v>
      </c>
      <c r="B1136" t="s">
        <v>2950</v>
      </c>
      <c r="C1136" t="s">
        <v>2951</v>
      </c>
      <c r="D1136" t="s">
        <v>19</v>
      </c>
      <c r="E1136" t="s">
        <v>86</v>
      </c>
      <c r="F1136" t="s">
        <v>113</v>
      </c>
      <c r="G1136">
        <v>1</v>
      </c>
      <c r="H1136">
        <v>5672.83</v>
      </c>
      <c r="I1136">
        <v>0.1</v>
      </c>
      <c r="J1136">
        <v>5105.55</v>
      </c>
      <c r="K1136">
        <v>1030.57</v>
      </c>
      <c r="L1136">
        <v>2.9</v>
      </c>
      <c r="M1136" s="53">
        <v>45586</v>
      </c>
      <c r="N1136" t="s">
        <v>56</v>
      </c>
      <c r="O1136" t="s">
        <v>73</v>
      </c>
      <c r="P1136" s="54">
        <v>0.201852885585294</v>
      </c>
    </row>
    <row r="1137" spans="1:16">
      <c r="A1137" t="s">
        <v>2952</v>
      </c>
      <c r="B1137" t="s">
        <v>627</v>
      </c>
      <c r="C1137" t="s">
        <v>2953</v>
      </c>
      <c r="D1137" t="s">
        <v>27</v>
      </c>
      <c r="E1137" t="s">
        <v>117</v>
      </c>
      <c r="F1137" t="s">
        <v>225</v>
      </c>
      <c r="G1137">
        <v>3</v>
      </c>
      <c r="H1137">
        <v>17867.76</v>
      </c>
      <c r="I1137">
        <v>0.15</v>
      </c>
      <c r="J1137">
        <v>45562.79</v>
      </c>
      <c r="K1137">
        <v>6887.08</v>
      </c>
      <c r="L1137">
        <v>3.2</v>
      </c>
      <c r="M1137" s="53">
        <v>45213</v>
      </c>
      <c r="N1137" t="s">
        <v>43</v>
      </c>
      <c r="O1137" t="s">
        <v>44</v>
      </c>
      <c r="P1137" s="54">
        <v>0.151155800599568</v>
      </c>
    </row>
    <row r="1138" spans="1:16">
      <c r="A1138" t="s">
        <v>2954</v>
      </c>
      <c r="B1138" t="s">
        <v>546</v>
      </c>
      <c r="C1138" t="s">
        <v>2955</v>
      </c>
      <c r="D1138" t="s">
        <v>40</v>
      </c>
      <c r="E1138" t="s">
        <v>174</v>
      </c>
      <c r="F1138" t="s">
        <v>202</v>
      </c>
      <c r="G1138">
        <v>3</v>
      </c>
      <c r="H1138">
        <v>19360.22</v>
      </c>
      <c r="I1138">
        <v>0</v>
      </c>
      <c r="J1138">
        <v>58080.66</v>
      </c>
      <c r="K1138">
        <v>11412.02</v>
      </c>
      <c r="L1138">
        <v>1.8</v>
      </c>
      <c r="M1138" s="53">
        <v>44936</v>
      </c>
      <c r="N1138" t="s">
        <v>43</v>
      </c>
      <c r="O1138" t="s">
        <v>73</v>
      </c>
      <c r="P1138" s="54">
        <v>0.196485714866188</v>
      </c>
    </row>
    <row r="1139" spans="1:16">
      <c r="A1139" t="s">
        <v>2956</v>
      </c>
      <c r="B1139" t="s">
        <v>2778</v>
      </c>
      <c r="C1139" t="s">
        <v>2957</v>
      </c>
      <c r="D1139" t="s">
        <v>19</v>
      </c>
      <c r="E1139" t="s">
        <v>129</v>
      </c>
      <c r="F1139" t="s">
        <v>167</v>
      </c>
      <c r="G1139">
        <v>3</v>
      </c>
      <c r="H1139">
        <v>9642.63</v>
      </c>
      <c r="I1139">
        <v>0.1</v>
      </c>
      <c r="J1139">
        <v>26035.1</v>
      </c>
      <c r="K1139">
        <v>2097.47</v>
      </c>
      <c r="L1139">
        <v>2.9</v>
      </c>
      <c r="M1139" s="53">
        <v>45496</v>
      </c>
      <c r="N1139" t="s">
        <v>30</v>
      </c>
      <c r="O1139" t="s">
        <v>73</v>
      </c>
      <c r="P1139" s="54">
        <v>0.0805631628071334</v>
      </c>
    </row>
    <row r="1140" spans="1:16">
      <c r="A1140" t="s">
        <v>2958</v>
      </c>
      <c r="B1140" t="s">
        <v>1644</v>
      </c>
      <c r="C1140" t="s">
        <v>2959</v>
      </c>
      <c r="D1140" t="s">
        <v>27</v>
      </c>
      <c r="E1140" t="s">
        <v>117</v>
      </c>
      <c r="F1140" t="s">
        <v>225</v>
      </c>
      <c r="G1140">
        <v>5</v>
      </c>
      <c r="H1140">
        <v>13529.1</v>
      </c>
      <c r="I1140">
        <v>0</v>
      </c>
      <c r="J1140">
        <v>67645.5</v>
      </c>
      <c r="K1140">
        <v>15702.41</v>
      </c>
      <c r="L1140">
        <v>4.9</v>
      </c>
      <c r="M1140" s="53">
        <v>45327</v>
      </c>
      <c r="N1140" t="s">
        <v>43</v>
      </c>
      <c r="O1140" t="s">
        <v>73</v>
      </c>
      <c r="P1140" s="54">
        <v>0.232127931643642</v>
      </c>
    </row>
    <row r="1141" spans="1:16">
      <c r="A1141" t="s">
        <v>2960</v>
      </c>
      <c r="B1141" t="s">
        <v>2961</v>
      </c>
      <c r="C1141" t="s">
        <v>2962</v>
      </c>
      <c r="D1141" t="s">
        <v>40</v>
      </c>
      <c r="E1141" t="s">
        <v>174</v>
      </c>
      <c r="F1141" t="s">
        <v>202</v>
      </c>
      <c r="G1141">
        <v>4</v>
      </c>
      <c r="H1141">
        <v>1658.32</v>
      </c>
      <c r="I1141">
        <v>0.05</v>
      </c>
      <c r="J1141">
        <v>6301.62</v>
      </c>
      <c r="K1141">
        <v>1489.75</v>
      </c>
      <c r="L1141">
        <v>4.8</v>
      </c>
      <c r="M1141" s="53">
        <v>45595</v>
      </c>
      <c r="N1141" t="s">
        <v>22</v>
      </c>
      <c r="O1141" t="s">
        <v>31</v>
      </c>
      <c r="P1141" s="54">
        <v>0.236407463477645</v>
      </c>
    </row>
    <row r="1142" spans="1:16">
      <c r="A1142" t="s">
        <v>2963</v>
      </c>
      <c r="B1142" t="s">
        <v>350</v>
      </c>
      <c r="C1142" t="s">
        <v>2964</v>
      </c>
      <c r="D1142" t="s">
        <v>19</v>
      </c>
      <c r="E1142" t="s">
        <v>129</v>
      </c>
      <c r="F1142" t="s">
        <v>167</v>
      </c>
      <c r="G1142">
        <v>2</v>
      </c>
      <c r="H1142">
        <v>15709.67</v>
      </c>
      <c r="I1142">
        <v>0.05</v>
      </c>
      <c r="J1142">
        <v>29848.37</v>
      </c>
      <c r="K1142">
        <v>4328.06</v>
      </c>
      <c r="L1142">
        <v>4.6</v>
      </c>
      <c r="M1142" s="53">
        <v>45249</v>
      </c>
      <c r="N1142" t="s">
        <v>30</v>
      </c>
      <c r="O1142" t="s">
        <v>31</v>
      </c>
      <c r="P1142" s="54">
        <v>0.145001552848614</v>
      </c>
    </row>
    <row r="1143" spans="1:16">
      <c r="A1143" t="s">
        <v>2965</v>
      </c>
      <c r="B1143" t="s">
        <v>1161</v>
      </c>
      <c r="C1143" t="s">
        <v>2966</v>
      </c>
      <c r="D1143" t="s">
        <v>40</v>
      </c>
      <c r="E1143" t="s">
        <v>41</v>
      </c>
      <c r="F1143" t="s">
        <v>125</v>
      </c>
      <c r="G1143">
        <v>4</v>
      </c>
      <c r="H1143">
        <v>11423.05</v>
      </c>
      <c r="I1143">
        <v>0</v>
      </c>
      <c r="J1143">
        <v>45692.2</v>
      </c>
      <c r="K1143">
        <v>9847.95</v>
      </c>
      <c r="L1143">
        <v>1.4</v>
      </c>
      <c r="M1143" s="53">
        <v>45543</v>
      </c>
      <c r="N1143" t="s">
        <v>56</v>
      </c>
      <c r="O1143" t="s">
        <v>73</v>
      </c>
      <c r="P1143" s="54">
        <v>0.215528033231055</v>
      </c>
    </row>
    <row r="1144" spans="1:16">
      <c r="A1144" t="s">
        <v>2967</v>
      </c>
      <c r="B1144" t="s">
        <v>297</v>
      </c>
      <c r="C1144" t="s">
        <v>2968</v>
      </c>
      <c r="D1144" t="s">
        <v>53</v>
      </c>
      <c r="E1144" t="s">
        <v>54</v>
      </c>
      <c r="F1144" t="s">
        <v>249</v>
      </c>
      <c r="G1144">
        <v>4</v>
      </c>
      <c r="H1144">
        <v>223.79</v>
      </c>
      <c r="I1144">
        <v>0.2</v>
      </c>
      <c r="J1144">
        <v>716.13</v>
      </c>
      <c r="K1144">
        <v>111.58</v>
      </c>
      <c r="L1144">
        <v>1.2</v>
      </c>
      <c r="M1144" s="53">
        <v>45315</v>
      </c>
      <c r="N1144" t="s">
        <v>56</v>
      </c>
      <c r="O1144" t="s">
        <v>23</v>
      </c>
      <c r="P1144" s="54">
        <v>0.155809699356262</v>
      </c>
    </row>
    <row r="1145" spans="1:16">
      <c r="A1145" t="s">
        <v>2969</v>
      </c>
      <c r="B1145" t="s">
        <v>2914</v>
      </c>
      <c r="C1145" t="s">
        <v>2970</v>
      </c>
      <c r="D1145" t="s">
        <v>53</v>
      </c>
      <c r="E1145" t="s">
        <v>71</v>
      </c>
      <c r="F1145" t="s">
        <v>150</v>
      </c>
      <c r="G1145">
        <v>2</v>
      </c>
      <c r="H1145">
        <v>9171.38</v>
      </c>
      <c r="I1145">
        <v>0</v>
      </c>
      <c r="J1145">
        <v>18342.76</v>
      </c>
      <c r="K1145">
        <v>2633.72</v>
      </c>
      <c r="L1145">
        <v>3.7</v>
      </c>
      <c r="M1145" s="53">
        <v>45277</v>
      </c>
      <c r="N1145" t="s">
        <v>30</v>
      </c>
      <c r="O1145" t="s">
        <v>31</v>
      </c>
      <c r="P1145" s="54">
        <v>0.143583626455343</v>
      </c>
    </row>
    <row r="1146" spans="1:16">
      <c r="A1146" t="s">
        <v>2971</v>
      </c>
      <c r="B1146" t="s">
        <v>2972</v>
      </c>
      <c r="C1146" t="s">
        <v>2973</v>
      </c>
      <c r="D1146" t="s">
        <v>19</v>
      </c>
      <c r="E1146" t="s">
        <v>35</v>
      </c>
      <c r="F1146" t="s">
        <v>121</v>
      </c>
      <c r="G1146">
        <v>1</v>
      </c>
      <c r="H1146">
        <v>2456.98</v>
      </c>
      <c r="I1146">
        <v>0.2</v>
      </c>
      <c r="J1146">
        <v>1965.58</v>
      </c>
      <c r="K1146">
        <v>448.59</v>
      </c>
      <c r="L1146">
        <v>2.6</v>
      </c>
      <c r="M1146" s="53">
        <v>44988</v>
      </c>
      <c r="N1146" t="s">
        <v>56</v>
      </c>
      <c r="O1146" t="s">
        <v>31</v>
      </c>
      <c r="P1146" s="54">
        <v>0.228222712888816</v>
      </c>
    </row>
    <row r="1147" spans="1:16">
      <c r="A1147" t="s">
        <v>2974</v>
      </c>
      <c r="B1147" t="s">
        <v>2975</v>
      </c>
      <c r="C1147" t="s">
        <v>1101</v>
      </c>
      <c r="D1147" t="s">
        <v>27</v>
      </c>
      <c r="E1147" t="s">
        <v>117</v>
      </c>
      <c r="F1147" t="s">
        <v>505</v>
      </c>
      <c r="G1147">
        <v>5</v>
      </c>
      <c r="H1147">
        <v>1715.88</v>
      </c>
      <c r="I1147">
        <v>0.1</v>
      </c>
      <c r="J1147">
        <v>7721.46</v>
      </c>
      <c r="K1147">
        <v>1132.82</v>
      </c>
      <c r="L1147">
        <v>3.2</v>
      </c>
      <c r="M1147" s="53">
        <v>45385</v>
      </c>
      <c r="N1147" t="s">
        <v>43</v>
      </c>
      <c r="O1147" t="s">
        <v>44</v>
      </c>
      <c r="P1147" s="54">
        <v>0.146710596182587</v>
      </c>
    </row>
    <row r="1148" spans="1:16">
      <c r="A1148" t="s">
        <v>2976</v>
      </c>
      <c r="B1148" t="s">
        <v>2019</v>
      </c>
      <c r="C1148" t="s">
        <v>2977</v>
      </c>
      <c r="D1148" t="s">
        <v>19</v>
      </c>
      <c r="E1148" t="s">
        <v>35</v>
      </c>
      <c r="F1148" t="s">
        <v>36</v>
      </c>
      <c r="G1148">
        <v>1</v>
      </c>
      <c r="H1148">
        <v>3925.27</v>
      </c>
      <c r="I1148">
        <v>0.05</v>
      </c>
      <c r="J1148">
        <v>3729.01</v>
      </c>
      <c r="K1148">
        <v>431.32</v>
      </c>
      <c r="L1148">
        <v>2</v>
      </c>
      <c r="M1148" s="53">
        <v>44962</v>
      </c>
      <c r="N1148" t="s">
        <v>30</v>
      </c>
      <c r="O1148" t="s">
        <v>31</v>
      </c>
      <c r="P1148" s="54">
        <v>0.115666088318347</v>
      </c>
    </row>
    <row r="1149" spans="1:16">
      <c r="A1149" t="s">
        <v>2978</v>
      </c>
      <c r="B1149" t="s">
        <v>1074</v>
      </c>
      <c r="C1149" t="s">
        <v>2979</v>
      </c>
      <c r="D1149" t="s">
        <v>27</v>
      </c>
      <c r="E1149" t="s">
        <v>233</v>
      </c>
      <c r="F1149" t="s">
        <v>234</v>
      </c>
      <c r="G1149">
        <v>5</v>
      </c>
      <c r="H1149">
        <v>9308.15</v>
      </c>
      <c r="I1149">
        <v>0.2</v>
      </c>
      <c r="J1149">
        <v>37232.6</v>
      </c>
      <c r="K1149">
        <v>5480.26</v>
      </c>
      <c r="L1149">
        <v>4.7</v>
      </c>
      <c r="M1149" s="53">
        <v>45441</v>
      </c>
      <c r="N1149" t="s">
        <v>22</v>
      </c>
      <c r="O1149" t="s">
        <v>44</v>
      </c>
      <c r="P1149" s="54">
        <v>0.147189828268775</v>
      </c>
    </row>
    <row r="1150" spans="1:16">
      <c r="A1150" t="s">
        <v>2980</v>
      </c>
      <c r="B1150" t="s">
        <v>2981</v>
      </c>
      <c r="C1150" t="s">
        <v>2982</v>
      </c>
      <c r="D1150" t="s">
        <v>27</v>
      </c>
      <c r="E1150" t="s">
        <v>28</v>
      </c>
      <c r="F1150" t="s">
        <v>105</v>
      </c>
      <c r="G1150">
        <v>4</v>
      </c>
      <c r="H1150">
        <v>3497.88</v>
      </c>
      <c r="I1150">
        <v>0.15</v>
      </c>
      <c r="J1150">
        <v>11892.79</v>
      </c>
      <c r="K1150">
        <v>1728.46</v>
      </c>
      <c r="L1150">
        <v>1.6</v>
      </c>
      <c r="M1150" s="53">
        <v>45224</v>
      </c>
      <c r="N1150" t="s">
        <v>43</v>
      </c>
      <c r="O1150" t="s">
        <v>44</v>
      </c>
      <c r="P1150" s="54">
        <v>0.145336796496028</v>
      </c>
    </row>
    <row r="1151" spans="1:16">
      <c r="A1151" t="s">
        <v>2983</v>
      </c>
      <c r="B1151" t="s">
        <v>2984</v>
      </c>
      <c r="C1151" t="s">
        <v>2985</v>
      </c>
      <c r="D1151" t="s">
        <v>19</v>
      </c>
      <c r="E1151" t="s">
        <v>86</v>
      </c>
      <c r="F1151" t="s">
        <v>320</v>
      </c>
      <c r="G1151">
        <v>1</v>
      </c>
      <c r="H1151">
        <v>2804.84</v>
      </c>
      <c r="I1151">
        <v>0.05</v>
      </c>
      <c r="J1151">
        <v>2664.6</v>
      </c>
      <c r="K1151">
        <v>151.3</v>
      </c>
      <c r="L1151">
        <v>3.4</v>
      </c>
      <c r="M1151" s="53">
        <v>45428</v>
      </c>
      <c r="N1151" t="s">
        <v>22</v>
      </c>
      <c r="O1151" t="s">
        <v>73</v>
      </c>
      <c r="P1151" s="54">
        <v>0.0567815056668919</v>
      </c>
    </row>
    <row r="1152" spans="1:16">
      <c r="A1152" t="s">
        <v>2986</v>
      </c>
      <c r="B1152" t="s">
        <v>375</v>
      </c>
      <c r="C1152" t="s">
        <v>2987</v>
      </c>
      <c r="D1152" t="s">
        <v>40</v>
      </c>
      <c r="E1152" t="s">
        <v>81</v>
      </c>
      <c r="F1152" t="s">
        <v>241</v>
      </c>
      <c r="G1152">
        <v>3</v>
      </c>
      <c r="H1152">
        <v>17307.75</v>
      </c>
      <c r="I1152">
        <v>0.1</v>
      </c>
      <c r="J1152">
        <v>46730.93</v>
      </c>
      <c r="K1152">
        <v>8292.48</v>
      </c>
      <c r="L1152">
        <v>4.1</v>
      </c>
      <c r="M1152" s="53">
        <v>45434</v>
      </c>
      <c r="N1152" t="s">
        <v>56</v>
      </c>
      <c r="O1152" t="s">
        <v>23</v>
      </c>
      <c r="P1152" s="54">
        <v>0.177451636421531</v>
      </c>
    </row>
    <row r="1153" spans="1:16">
      <c r="A1153" t="s">
        <v>2988</v>
      </c>
      <c r="B1153" t="s">
        <v>1306</v>
      </c>
      <c r="C1153" t="s">
        <v>2989</v>
      </c>
      <c r="D1153" t="s">
        <v>19</v>
      </c>
      <c r="E1153" t="s">
        <v>129</v>
      </c>
      <c r="F1153" t="s">
        <v>167</v>
      </c>
      <c r="G1153">
        <v>1</v>
      </c>
      <c r="H1153">
        <v>7394.78</v>
      </c>
      <c r="I1153">
        <v>0.15</v>
      </c>
      <c r="J1153">
        <v>6285.56</v>
      </c>
      <c r="K1153">
        <v>460.85</v>
      </c>
      <c r="L1153">
        <v>4</v>
      </c>
      <c r="M1153" s="53">
        <v>45465</v>
      </c>
      <c r="N1153" t="s">
        <v>22</v>
      </c>
      <c r="O1153" t="s">
        <v>73</v>
      </c>
      <c r="P1153" s="54">
        <v>0.0733188450989252</v>
      </c>
    </row>
    <row r="1154" spans="1:16">
      <c r="A1154" t="s">
        <v>2990</v>
      </c>
      <c r="B1154" t="s">
        <v>2030</v>
      </c>
      <c r="C1154" t="s">
        <v>2991</v>
      </c>
      <c r="D1154" t="s">
        <v>19</v>
      </c>
      <c r="E1154" t="s">
        <v>20</v>
      </c>
      <c r="F1154" t="s">
        <v>121</v>
      </c>
      <c r="G1154">
        <v>5</v>
      </c>
      <c r="H1154">
        <v>4855.65</v>
      </c>
      <c r="I1154">
        <v>0.2</v>
      </c>
      <c r="J1154">
        <v>19422.6</v>
      </c>
      <c r="K1154">
        <v>3751.78</v>
      </c>
      <c r="L1154">
        <v>1.7</v>
      </c>
      <c r="M1154" s="53">
        <v>45190</v>
      </c>
      <c r="N1154" t="s">
        <v>22</v>
      </c>
      <c r="O1154" t="s">
        <v>57</v>
      </c>
      <c r="P1154" s="54">
        <v>0.193165693573466</v>
      </c>
    </row>
    <row r="1155" spans="1:16">
      <c r="A1155" t="s">
        <v>2992</v>
      </c>
      <c r="B1155" t="s">
        <v>1849</v>
      </c>
      <c r="C1155" t="s">
        <v>2993</v>
      </c>
      <c r="D1155" t="s">
        <v>19</v>
      </c>
      <c r="E1155" t="s">
        <v>20</v>
      </c>
      <c r="F1155" t="s">
        <v>454</v>
      </c>
      <c r="G1155">
        <v>5</v>
      </c>
      <c r="H1155">
        <v>10827.82</v>
      </c>
      <c r="I1155">
        <v>0.05</v>
      </c>
      <c r="J1155">
        <v>51432.14</v>
      </c>
      <c r="K1155">
        <v>7767.19</v>
      </c>
      <c r="L1155">
        <v>2.7</v>
      </c>
      <c r="M1155" s="53">
        <v>45306</v>
      </c>
      <c r="N1155" t="s">
        <v>30</v>
      </c>
      <c r="O1155" t="s">
        <v>31</v>
      </c>
      <c r="P1155" s="54">
        <v>0.151018215458272</v>
      </c>
    </row>
    <row r="1156" spans="1:16">
      <c r="A1156" t="s">
        <v>2994</v>
      </c>
      <c r="B1156" t="s">
        <v>1962</v>
      </c>
      <c r="C1156" t="s">
        <v>2995</v>
      </c>
      <c r="D1156" t="s">
        <v>27</v>
      </c>
      <c r="E1156" t="s">
        <v>233</v>
      </c>
      <c r="F1156" t="s">
        <v>362</v>
      </c>
      <c r="G1156">
        <v>5</v>
      </c>
      <c r="H1156">
        <v>3773.04</v>
      </c>
      <c r="I1156">
        <v>0.2</v>
      </c>
      <c r="J1156">
        <v>15092.16</v>
      </c>
      <c r="K1156">
        <v>1911.66</v>
      </c>
      <c r="L1156">
        <v>3</v>
      </c>
      <c r="M1156" s="53">
        <v>45654</v>
      </c>
      <c r="N1156" t="s">
        <v>30</v>
      </c>
      <c r="O1156" t="s">
        <v>31</v>
      </c>
      <c r="P1156" s="54">
        <v>0.126665765536543</v>
      </c>
    </row>
    <row r="1157" spans="1:16">
      <c r="A1157" t="s">
        <v>2996</v>
      </c>
      <c r="B1157" t="s">
        <v>698</v>
      </c>
      <c r="C1157" t="s">
        <v>2997</v>
      </c>
      <c r="D1157" t="s">
        <v>27</v>
      </c>
      <c r="E1157" t="s">
        <v>233</v>
      </c>
      <c r="F1157" t="s">
        <v>606</v>
      </c>
      <c r="G1157">
        <v>5</v>
      </c>
      <c r="H1157">
        <v>6141.33</v>
      </c>
      <c r="I1157">
        <v>0</v>
      </c>
      <c r="J1157">
        <v>30706.65</v>
      </c>
      <c r="K1157">
        <v>3540.73</v>
      </c>
      <c r="L1157">
        <v>3.4</v>
      </c>
      <c r="M1157" s="53">
        <v>45359</v>
      </c>
      <c r="N1157" t="s">
        <v>22</v>
      </c>
      <c r="O1157" t="s">
        <v>31</v>
      </c>
      <c r="P1157" s="54">
        <v>0.11530824756201</v>
      </c>
    </row>
    <row r="1158" spans="1:16">
      <c r="A1158" t="s">
        <v>2998</v>
      </c>
      <c r="B1158" t="s">
        <v>1491</v>
      </c>
      <c r="C1158" t="s">
        <v>2999</v>
      </c>
      <c r="D1158" t="s">
        <v>27</v>
      </c>
      <c r="E1158" t="s">
        <v>28</v>
      </c>
      <c r="F1158" t="s">
        <v>192</v>
      </c>
      <c r="G1158">
        <v>5</v>
      </c>
      <c r="H1158">
        <v>10538.28</v>
      </c>
      <c r="I1158">
        <v>0.2</v>
      </c>
      <c r="J1158">
        <v>42153.12</v>
      </c>
      <c r="K1158">
        <v>5158.76</v>
      </c>
      <c r="L1158">
        <v>1.7</v>
      </c>
      <c r="M1158" s="53">
        <v>45609</v>
      </c>
      <c r="N1158" t="s">
        <v>22</v>
      </c>
      <c r="O1158" t="s">
        <v>23</v>
      </c>
      <c r="P1158" s="54">
        <v>0.122381451242518</v>
      </c>
    </row>
    <row r="1159" spans="1:16">
      <c r="A1159" t="s">
        <v>3000</v>
      </c>
      <c r="B1159" t="s">
        <v>1452</v>
      </c>
      <c r="C1159" t="s">
        <v>3001</v>
      </c>
      <c r="D1159" t="s">
        <v>19</v>
      </c>
      <c r="E1159" t="s">
        <v>20</v>
      </c>
      <c r="F1159" t="s">
        <v>454</v>
      </c>
      <c r="G1159">
        <v>2</v>
      </c>
      <c r="H1159">
        <v>2902.58</v>
      </c>
      <c r="I1159">
        <v>0.2</v>
      </c>
      <c r="J1159">
        <v>4644.13</v>
      </c>
      <c r="K1159">
        <v>652.52</v>
      </c>
      <c r="L1159">
        <v>1.6</v>
      </c>
      <c r="M1159" s="53">
        <v>45469</v>
      </c>
      <c r="N1159" t="s">
        <v>22</v>
      </c>
      <c r="O1159" t="s">
        <v>73</v>
      </c>
      <c r="P1159" s="54">
        <v>0.140504249450382</v>
      </c>
    </row>
    <row r="1160" spans="1:16">
      <c r="A1160" t="s">
        <v>3002</v>
      </c>
      <c r="B1160" t="s">
        <v>1685</v>
      </c>
      <c r="C1160" t="s">
        <v>3003</v>
      </c>
      <c r="D1160" t="s">
        <v>53</v>
      </c>
      <c r="E1160" t="s">
        <v>95</v>
      </c>
      <c r="F1160" t="s">
        <v>271</v>
      </c>
      <c r="G1160">
        <v>2</v>
      </c>
      <c r="H1160">
        <v>9945.39</v>
      </c>
      <c r="I1160">
        <v>0.05</v>
      </c>
      <c r="J1160">
        <v>18896.24</v>
      </c>
      <c r="K1160">
        <v>2227.88</v>
      </c>
      <c r="L1160">
        <v>1.4</v>
      </c>
      <c r="M1160" s="53">
        <v>45556</v>
      </c>
      <c r="N1160" t="s">
        <v>56</v>
      </c>
      <c r="O1160" t="s">
        <v>57</v>
      </c>
      <c r="P1160" s="54">
        <v>0.11790070405541</v>
      </c>
    </row>
    <row r="1161" spans="1:16">
      <c r="A1161" t="s">
        <v>3004</v>
      </c>
      <c r="B1161" t="s">
        <v>318</v>
      </c>
      <c r="C1161" t="s">
        <v>3005</v>
      </c>
      <c r="D1161" t="s">
        <v>40</v>
      </c>
      <c r="E1161" t="s">
        <v>81</v>
      </c>
      <c r="F1161" t="s">
        <v>241</v>
      </c>
      <c r="G1161">
        <v>2</v>
      </c>
      <c r="H1161">
        <v>14394.74</v>
      </c>
      <c r="I1161">
        <v>0.2</v>
      </c>
      <c r="J1161">
        <v>23031.58</v>
      </c>
      <c r="K1161">
        <v>3845.82</v>
      </c>
      <c r="L1161">
        <v>3.2</v>
      </c>
      <c r="M1161" s="53">
        <v>45354</v>
      </c>
      <c r="N1161" t="s">
        <v>43</v>
      </c>
      <c r="O1161" t="s">
        <v>73</v>
      </c>
      <c r="P1161" s="54">
        <v>0.166980294013698</v>
      </c>
    </row>
    <row r="1162" spans="1:16">
      <c r="A1162" t="s">
        <v>3006</v>
      </c>
      <c r="B1162" t="s">
        <v>3007</v>
      </c>
      <c r="C1162" t="s">
        <v>3008</v>
      </c>
      <c r="D1162" t="s">
        <v>27</v>
      </c>
      <c r="E1162" t="s">
        <v>117</v>
      </c>
      <c r="F1162" t="s">
        <v>225</v>
      </c>
      <c r="G1162">
        <v>4</v>
      </c>
      <c r="H1162">
        <v>8566.64</v>
      </c>
      <c r="I1162">
        <v>0.15</v>
      </c>
      <c r="J1162">
        <v>29126.58</v>
      </c>
      <c r="K1162">
        <v>5469.48</v>
      </c>
      <c r="L1162">
        <v>4.8</v>
      </c>
      <c r="M1162" s="53">
        <v>45306</v>
      </c>
      <c r="N1162" t="s">
        <v>56</v>
      </c>
      <c r="O1162" t="s">
        <v>44</v>
      </c>
      <c r="P1162" s="54">
        <v>0.187783117688379</v>
      </c>
    </row>
    <row r="1163" spans="1:16">
      <c r="A1163" t="s">
        <v>3009</v>
      </c>
      <c r="B1163" t="s">
        <v>3010</v>
      </c>
      <c r="C1163" t="s">
        <v>3011</v>
      </c>
      <c r="D1163" t="s">
        <v>40</v>
      </c>
      <c r="E1163" t="s">
        <v>81</v>
      </c>
      <c r="F1163" t="s">
        <v>263</v>
      </c>
      <c r="G1163">
        <v>1</v>
      </c>
      <c r="H1163">
        <v>6239.73</v>
      </c>
      <c r="I1163">
        <v>0.1</v>
      </c>
      <c r="J1163">
        <v>5615.76</v>
      </c>
      <c r="K1163">
        <v>1081.47</v>
      </c>
      <c r="L1163">
        <v>4.3</v>
      </c>
      <c r="M1163" s="53">
        <v>45434</v>
      </c>
      <c r="N1163" t="s">
        <v>30</v>
      </c>
      <c r="O1163" t="s">
        <v>31</v>
      </c>
      <c r="P1163" s="54">
        <v>0.192577674259584</v>
      </c>
    </row>
    <row r="1164" spans="1:16">
      <c r="A1164" t="s">
        <v>3012</v>
      </c>
      <c r="B1164" t="s">
        <v>318</v>
      </c>
      <c r="C1164" t="s">
        <v>3013</v>
      </c>
      <c r="D1164" t="s">
        <v>53</v>
      </c>
      <c r="E1164" t="s">
        <v>95</v>
      </c>
      <c r="F1164" t="s">
        <v>96</v>
      </c>
      <c r="G1164">
        <v>2</v>
      </c>
      <c r="H1164">
        <v>608.02</v>
      </c>
      <c r="I1164">
        <v>0.1</v>
      </c>
      <c r="J1164">
        <v>1094.44</v>
      </c>
      <c r="K1164">
        <v>270.86</v>
      </c>
      <c r="L1164">
        <v>1.4</v>
      </c>
      <c r="M1164" s="53">
        <v>45112</v>
      </c>
      <c r="N1164" t="s">
        <v>56</v>
      </c>
      <c r="O1164" t="s">
        <v>57</v>
      </c>
      <c r="P1164" s="54">
        <v>0.24748729944081</v>
      </c>
    </row>
    <row r="1165" spans="1:16">
      <c r="A1165" t="s">
        <v>3014</v>
      </c>
      <c r="B1165" t="s">
        <v>1303</v>
      </c>
      <c r="C1165" t="s">
        <v>3015</v>
      </c>
      <c r="D1165" t="s">
        <v>40</v>
      </c>
      <c r="E1165" t="s">
        <v>174</v>
      </c>
      <c r="F1165" t="s">
        <v>202</v>
      </c>
      <c r="G1165">
        <v>3</v>
      </c>
      <c r="H1165">
        <v>4515.37</v>
      </c>
      <c r="I1165">
        <v>0.2</v>
      </c>
      <c r="J1165">
        <v>10836.89</v>
      </c>
      <c r="K1165">
        <v>1815.57</v>
      </c>
      <c r="L1165">
        <v>3.1</v>
      </c>
      <c r="M1165" s="53">
        <v>45297</v>
      </c>
      <c r="N1165" t="s">
        <v>43</v>
      </c>
      <c r="O1165" t="s">
        <v>44</v>
      </c>
      <c r="P1165" s="54">
        <v>0.167536073541394</v>
      </c>
    </row>
    <row r="1166" spans="1:16">
      <c r="A1166" t="s">
        <v>3016</v>
      </c>
      <c r="B1166" t="s">
        <v>1294</v>
      </c>
      <c r="C1166" t="s">
        <v>3017</v>
      </c>
      <c r="D1166" t="s">
        <v>27</v>
      </c>
      <c r="E1166" t="s">
        <v>117</v>
      </c>
      <c r="F1166" t="s">
        <v>192</v>
      </c>
      <c r="G1166">
        <v>2</v>
      </c>
      <c r="H1166">
        <v>18553.77</v>
      </c>
      <c r="I1166">
        <v>0</v>
      </c>
      <c r="J1166">
        <v>37107.54</v>
      </c>
      <c r="K1166">
        <v>2857.11</v>
      </c>
      <c r="L1166">
        <v>4.7</v>
      </c>
      <c r="M1166" s="53">
        <v>45422</v>
      </c>
      <c r="N1166" t="s">
        <v>43</v>
      </c>
      <c r="O1166" t="s">
        <v>31</v>
      </c>
      <c r="P1166" s="54">
        <v>0.0769954030905848</v>
      </c>
    </row>
    <row r="1167" spans="1:16">
      <c r="A1167" t="s">
        <v>3018</v>
      </c>
      <c r="B1167" t="s">
        <v>976</v>
      </c>
      <c r="C1167" t="s">
        <v>3019</v>
      </c>
      <c r="D1167" t="s">
        <v>40</v>
      </c>
      <c r="E1167" t="s">
        <v>174</v>
      </c>
      <c r="F1167" t="s">
        <v>199</v>
      </c>
      <c r="G1167">
        <v>4</v>
      </c>
      <c r="H1167">
        <v>17412.23</v>
      </c>
      <c r="I1167">
        <v>0.2</v>
      </c>
      <c r="J1167">
        <v>55719.14</v>
      </c>
      <c r="K1167">
        <v>6490.32</v>
      </c>
      <c r="L1167">
        <v>1.3</v>
      </c>
      <c r="M1167" s="53">
        <v>45340</v>
      </c>
      <c r="N1167" t="s">
        <v>43</v>
      </c>
      <c r="O1167" t="s">
        <v>23</v>
      </c>
      <c r="P1167" s="54">
        <v>0.116482774141884</v>
      </c>
    </row>
    <row r="1168" spans="1:16">
      <c r="A1168" t="s">
        <v>3020</v>
      </c>
      <c r="B1168" t="s">
        <v>886</v>
      </c>
      <c r="C1168" t="s">
        <v>3021</v>
      </c>
      <c r="D1168" t="s">
        <v>53</v>
      </c>
      <c r="E1168" t="s">
        <v>71</v>
      </c>
      <c r="F1168" t="s">
        <v>72</v>
      </c>
      <c r="G1168">
        <v>5</v>
      </c>
      <c r="H1168">
        <v>2607.63</v>
      </c>
      <c r="I1168">
        <v>0.1</v>
      </c>
      <c r="J1168">
        <v>11734.34</v>
      </c>
      <c r="K1168">
        <v>1475.18</v>
      </c>
      <c r="L1168">
        <v>4</v>
      </c>
      <c r="M1168" s="53">
        <v>45042</v>
      </c>
      <c r="N1168" t="s">
        <v>22</v>
      </c>
      <c r="O1168" t="s">
        <v>57</v>
      </c>
      <c r="P1168" s="54">
        <v>0.125714782424917</v>
      </c>
    </row>
    <row r="1169" spans="1:16">
      <c r="A1169" t="s">
        <v>3022</v>
      </c>
      <c r="B1169" t="s">
        <v>2139</v>
      </c>
      <c r="C1169" t="s">
        <v>3023</v>
      </c>
      <c r="D1169" t="s">
        <v>19</v>
      </c>
      <c r="E1169" t="s">
        <v>20</v>
      </c>
      <c r="F1169" t="s">
        <v>134</v>
      </c>
      <c r="G1169">
        <v>5</v>
      </c>
      <c r="H1169">
        <v>1238.87</v>
      </c>
      <c r="I1169">
        <v>0.05</v>
      </c>
      <c r="J1169">
        <v>5884.63</v>
      </c>
      <c r="K1169">
        <v>1371.92</v>
      </c>
      <c r="L1169">
        <v>1.4</v>
      </c>
      <c r="M1169" s="53">
        <v>45092</v>
      </c>
      <c r="N1169" t="s">
        <v>30</v>
      </c>
      <c r="O1169" t="s">
        <v>73</v>
      </c>
      <c r="P1169" s="54">
        <v>0.233136152995176</v>
      </c>
    </row>
    <row r="1170" spans="1:16">
      <c r="A1170" t="s">
        <v>3024</v>
      </c>
      <c r="B1170" t="s">
        <v>707</v>
      </c>
      <c r="C1170" t="s">
        <v>3025</v>
      </c>
      <c r="D1170" t="s">
        <v>19</v>
      </c>
      <c r="E1170" t="s">
        <v>35</v>
      </c>
      <c r="F1170" t="s">
        <v>215</v>
      </c>
      <c r="G1170">
        <v>3</v>
      </c>
      <c r="H1170">
        <v>13391.14</v>
      </c>
      <c r="I1170">
        <v>0.1</v>
      </c>
      <c r="J1170">
        <v>36156.08</v>
      </c>
      <c r="K1170">
        <v>3450.12</v>
      </c>
      <c r="L1170">
        <v>4.9</v>
      </c>
      <c r="M1170" s="53">
        <v>45024</v>
      </c>
      <c r="N1170" t="s">
        <v>30</v>
      </c>
      <c r="O1170" t="s">
        <v>73</v>
      </c>
      <c r="P1170" s="54">
        <v>0.0954229551433673</v>
      </c>
    </row>
    <row r="1171" spans="1:16">
      <c r="A1171" t="s">
        <v>3026</v>
      </c>
      <c r="B1171" t="s">
        <v>2112</v>
      </c>
      <c r="C1171" t="s">
        <v>3027</v>
      </c>
      <c r="D1171" t="s">
        <v>53</v>
      </c>
      <c r="E1171" t="s">
        <v>100</v>
      </c>
      <c r="F1171" t="s">
        <v>271</v>
      </c>
      <c r="G1171">
        <v>3</v>
      </c>
      <c r="H1171">
        <v>2029.71</v>
      </c>
      <c r="I1171">
        <v>0.05</v>
      </c>
      <c r="J1171">
        <v>5784.67</v>
      </c>
      <c r="K1171">
        <v>840.88</v>
      </c>
      <c r="L1171">
        <v>1.1</v>
      </c>
      <c r="M1171" s="53">
        <v>45104</v>
      </c>
      <c r="N1171" t="s">
        <v>30</v>
      </c>
      <c r="O1171" t="s">
        <v>23</v>
      </c>
      <c r="P1171" s="54">
        <v>0.145363521168883</v>
      </c>
    </row>
    <row r="1172" spans="1:16">
      <c r="A1172" t="s">
        <v>3028</v>
      </c>
      <c r="B1172" t="s">
        <v>3029</v>
      </c>
      <c r="C1172" t="s">
        <v>3030</v>
      </c>
      <c r="D1172" t="s">
        <v>40</v>
      </c>
      <c r="E1172" t="s">
        <v>41</v>
      </c>
      <c r="F1172" t="s">
        <v>125</v>
      </c>
      <c r="G1172">
        <v>3</v>
      </c>
      <c r="H1172">
        <v>6653.06</v>
      </c>
      <c r="I1172">
        <v>0.1</v>
      </c>
      <c r="J1172">
        <v>17963.26</v>
      </c>
      <c r="K1172">
        <v>3828.79</v>
      </c>
      <c r="L1172">
        <v>4.9</v>
      </c>
      <c r="M1172" s="53">
        <v>45112</v>
      </c>
      <c r="N1172" t="s">
        <v>56</v>
      </c>
      <c r="O1172" t="s">
        <v>73</v>
      </c>
      <c r="P1172" s="54">
        <v>0.213145609427242</v>
      </c>
    </row>
    <row r="1173" spans="1:16">
      <c r="A1173" t="s">
        <v>3031</v>
      </c>
      <c r="B1173" t="s">
        <v>1873</v>
      </c>
      <c r="C1173" t="s">
        <v>3032</v>
      </c>
      <c r="D1173" t="s">
        <v>19</v>
      </c>
      <c r="E1173" t="s">
        <v>35</v>
      </c>
      <c r="F1173" t="s">
        <v>121</v>
      </c>
      <c r="G1173">
        <v>3</v>
      </c>
      <c r="H1173">
        <v>17738.66</v>
      </c>
      <c r="I1173">
        <v>0.1</v>
      </c>
      <c r="J1173">
        <v>47894.38</v>
      </c>
      <c r="K1173">
        <v>10782.52</v>
      </c>
      <c r="L1173">
        <v>4.7</v>
      </c>
      <c r="M1173" s="53">
        <v>45263</v>
      </c>
      <c r="N1173" t="s">
        <v>30</v>
      </c>
      <c r="O1173" t="s">
        <v>73</v>
      </c>
      <c r="P1173" s="54">
        <v>0.225131215812795</v>
      </c>
    </row>
    <row r="1174" spans="1:16">
      <c r="A1174" t="s">
        <v>3033</v>
      </c>
      <c r="B1174" t="s">
        <v>217</v>
      </c>
      <c r="C1174" t="s">
        <v>579</v>
      </c>
      <c r="D1174" t="s">
        <v>40</v>
      </c>
      <c r="E1174" t="s">
        <v>174</v>
      </c>
      <c r="F1174" t="s">
        <v>199</v>
      </c>
      <c r="G1174">
        <v>3</v>
      </c>
      <c r="H1174">
        <v>2977.02</v>
      </c>
      <c r="I1174">
        <v>0.1</v>
      </c>
      <c r="J1174">
        <v>8037.95</v>
      </c>
      <c r="K1174">
        <v>904.14</v>
      </c>
      <c r="L1174">
        <v>1.3</v>
      </c>
      <c r="M1174" s="53">
        <v>45107</v>
      </c>
      <c r="N1174" t="s">
        <v>56</v>
      </c>
      <c r="O1174" t="s">
        <v>57</v>
      </c>
      <c r="P1174" s="54">
        <v>0.112483904478132</v>
      </c>
    </row>
    <row r="1175" spans="1:16">
      <c r="A1175" t="s">
        <v>3034</v>
      </c>
      <c r="B1175" t="s">
        <v>3035</v>
      </c>
      <c r="C1175" t="s">
        <v>3036</v>
      </c>
      <c r="D1175" t="s">
        <v>40</v>
      </c>
      <c r="E1175" t="s">
        <v>262</v>
      </c>
      <c r="F1175" t="s">
        <v>263</v>
      </c>
      <c r="G1175">
        <v>2</v>
      </c>
      <c r="H1175">
        <v>6399.49</v>
      </c>
      <c r="I1175">
        <v>0.05</v>
      </c>
      <c r="J1175">
        <v>12159.03</v>
      </c>
      <c r="K1175">
        <v>956.43</v>
      </c>
      <c r="L1175">
        <v>1.3</v>
      </c>
      <c r="M1175" s="53">
        <v>45154</v>
      </c>
      <c r="N1175" t="s">
        <v>43</v>
      </c>
      <c r="O1175" t="s">
        <v>31</v>
      </c>
      <c r="P1175" s="54">
        <v>0.0786600575868305</v>
      </c>
    </row>
    <row r="1176" spans="1:16">
      <c r="A1176" t="s">
        <v>3037</v>
      </c>
      <c r="B1176" t="s">
        <v>308</v>
      </c>
      <c r="C1176" t="s">
        <v>3038</v>
      </c>
      <c r="D1176" t="s">
        <v>19</v>
      </c>
      <c r="E1176" t="s">
        <v>20</v>
      </c>
      <c r="F1176" t="s">
        <v>21</v>
      </c>
      <c r="G1176">
        <v>3</v>
      </c>
      <c r="H1176">
        <v>4826.02</v>
      </c>
      <c r="I1176">
        <v>0.15</v>
      </c>
      <c r="J1176">
        <v>12306.35</v>
      </c>
      <c r="K1176">
        <v>1514.23</v>
      </c>
      <c r="L1176">
        <v>2.3</v>
      </c>
      <c r="M1176" s="53">
        <v>45621</v>
      </c>
      <c r="N1176" t="s">
        <v>56</v>
      </c>
      <c r="O1176" t="s">
        <v>57</v>
      </c>
      <c r="P1176" s="54">
        <v>0.123044607052457</v>
      </c>
    </row>
    <row r="1177" spans="1:16">
      <c r="A1177" t="s">
        <v>3039</v>
      </c>
      <c r="B1177" t="s">
        <v>148</v>
      </c>
      <c r="C1177" t="s">
        <v>3040</v>
      </c>
      <c r="D1177" t="s">
        <v>53</v>
      </c>
      <c r="E1177" t="s">
        <v>54</v>
      </c>
      <c r="F1177" t="s">
        <v>55</v>
      </c>
      <c r="G1177">
        <v>5</v>
      </c>
      <c r="H1177">
        <v>7803.51</v>
      </c>
      <c r="I1177">
        <v>0.15</v>
      </c>
      <c r="J1177">
        <v>33164.92</v>
      </c>
      <c r="K1177">
        <v>8001.68</v>
      </c>
      <c r="L1177">
        <v>3.5</v>
      </c>
      <c r="M1177" s="53">
        <v>45111</v>
      </c>
      <c r="N1177" t="s">
        <v>22</v>
      </c>
      <c r="O1177" t="s">
        <v>31</v>
      </c>
      <c r="P1177" s="54">
        <v>0.241269389463324</v>
      </c>
    </row>
    <row r="1178" spans="1:16">
      <c r="A1178" t="s">
        <v>3041</v>
      </c>
      <c r="B1178" t="s">
        <v>801</v>
      </c>
      <c r="C1178" t="s">
        <v>3042</v>
      </c>
      <c r="D1178" t="s">
        <v>19</v>
      </c>
      <c r="E1178" t="s">
        <v>86</v>
      </c>
      <c r="F1178" t="s">
        <v>113</v>
      </c>
      <c r="G1178">
        <v>4</v>
      </c>
      <c r="H1178">
        <v>17427.69</v>
      </c>
      <c r="I1178">
        <v>0.1</v>
      </c>
      <c r="J1178">
        <v>62739.68</v>
      </c>
      <c r="K1178">
        <v>9054.41</v>
      </c>
      <c r="L1178">
        <v>4.4</v>
      </c>
      <c r="M1178" s="53">
        <v>45413</v>
      </c>
      <c r="N1178" t="s">
        <v>43</v>
      </c>
      <c r="O1178" t="s">
        <v>57</v>
      </c>
      <c r="P1178" s="54">
        <v>0.144317121158412</v>
      </c>
    </row>
    <row r="1179" spans="1:16">
      <c r="A1179" t="s">
        <v>3043</v>
      </c>
      <c r="B1179" t="s">
        <v>2411</v>
      </c>
      <c r="C1179" t="s">
        <v>3044</v>
      </c>
      <c r="D1179" t="s">
        <v>27</v>
      </c>
      <c r="E1179" t="s">
        <v>28</v>
      </c>
      <c r="F1179" t="s">
        <v>192</v>
      </c>
      <c r="G1179">
        <v>5</v>
      </c>
      <c r="H1179">
        <v>19281.6</v>
      </c>
      <c r="I1179">
        <v>0.15</v>
      </c>
      <c r="J1179">
        <v>81946.8</v>
      </c>
      <c r="K1179">
        <v>18321.43</v>
      </c>
      <c r="L1179">
        <v>1.4</v>
      </c>
      <c r="M1179" s="53">
        <v>45109</v>
      </c>
      <c r="N1179" t="s">
        <v>22</v>
      </c>
      <c r="O1179" t="s">
        <v>57</v>
      </c>
      <c r="P1179" s="54">
        <v>0.223577125647371</v>
      </c>
    </row>
    <row r="1180" spans="1:16">
      <c r="A1180" t="s">
        <v>3045</v>
      </c>
      <c r="B1180" t="s">
        <v>3046</v>
      </c>
      <c r="C1180" t="s">
        <v>3047</v>
      </c>
      <c r="D1180" t="s">
        <v>19</v>
      </c>
      <c r="E1180" t="s">
        <v>35</v>
      </c>
      <c r="F1180" t="s">
        <v>215</v>
      </c>
      <c r="G1180">
        <v>2</v>
      </c>
      <c r="H1180">
        <v>8534.13</v>
      </c>
      <c r="I1180">
        <v>0</v>
      </c>
      <c r="J1180">
        <v>17068.26</v>
      </c>
      <c r="K1180">
        <v>1673.78</v>
      </c>
      <c r="L1180">
        <v>2.9</v>
      </c>
      <c r="M1180" s="53">
        <v>45262</v>
      </c>
      <c r="N1180" t="s">
        <v>22</v>
      </c>
      <c r="O1180" t="s">
        <v>23</v>
      </c>
      <c r="P1180" s="54">
        <v>0.0980638916913616</v>
      </c>
    </row>
    <row r="1181" spans="1:16">
      <c r="A1181" t="s">
        <v>3048</v>
      </c>
      <c r="B1181" t="s">
        <v>3049</v>
      </c>
      <c r="C1181" t="s">
        <v>3050</v>
      </c>
      <c r="D1181" t="s">
        <v>40</v>
      </c>
      <c r="E1181" t="s">
        <v>262</v>
      </c>
      <c r="F1181" t="s">
        <v>385</v>
      </c>
      <c r="G1181">
        <v>5</v>
      </c>
      <c r="H1181">
        <v>9791.28</v>
      </c>
      <c r="I1181">
        <v>0.1</v>
      </c>
      <c r="J1181">
        <v>44060.76</v>
      </c>
      <c r="K1181">
        <v>6315.01</v>
      </c>
      <c r="L1181">
        <v>2.1</v>
      </c>
      <c r="M1181" s="53">
        <v>45105</v>
      </c>
      <c r="N1181" t="s">
        <v>43</v>
      </c>
      <c r="O1181" t="s">
        <v>73</v>
      </c>
      <c r="P1181" s="54">
        <v>0.143325035700701</v>
      </c>
    </row>
    <row r="1182" spans="1:16">
      <c r="A1182" t="s">
        <v>3051</v>
      </c>
      <c r="B1182" t="s">
        <v>2069</v>
      </c>
      <c r="C1182" t="s">
        <v>3052</v>
      </c>
      <c r="D1182" t="s">
        <v>53</v>
      </c>
      <c r="E1182" t="s">
        <v>95</v>
      </c>
      <c r="F1182" t="s">
        <v>306</v>
      </c>
      <c r="G1182">
        <v>5</v>
      </c>
      <c r="H1182">
        <v>15750.54</v>
      </c>
      <c r="I1182">
        <v>0.2</v>
      </c>
      <c r="J1182">
        <v>63002.16</v>
      </c>
      <c r="K1182">
        <v>15047.52</v>
      </c>
      <c r="L1182">
        <v>2.4</v>
      </c>
      <c r="M1182" s="53">
        <v>45646</v>
      </c>
      <c r="N1182" t="s">
        <v>56</v>
      </c>
      <c r="O1182" t="s">
        <v>31</v>
      </c>
      <c r="P1182" s="54">
        <v>0.238841334963754</v>
      </c>
    </row>
    <row r="1183" spans="1:16">
      <c r="A1183" t="s">
        <v>3053</v>
      </c>
      <c r="B1183" t="s">
        <v>3054</v>
      </c>
      <c r="C1183" t="s">
        <v>3055</v>
      </c>
      <c r="D1183" t="s">
        <v>40</v>
      </c>
      <c r="E1183" t="s">
        <v>81</v>
      </c>
      <c r="F1183" t="s">
        <v>358</v>
      </c>
      <c r="G1183">
        <v>4</v>
      </c>
      <c r="H1183">
        <v>8538.03</v>
      </c>
      <c r="I1183">
        <v>0.1</v>
      </c>
      <c r="J1183">
        <v>30736.91</v>
      </c>
      <c r="K1183">
        <v>3123.02</v>
      </c>
      <c r="L1183">
        <v>1.6</v>
      </c>
      <c r="M1183" s="53">
        <v>45351</v>
      </c>
      <c r="N1183" t="s">
        <v>30</v>
      </c>
      <c r="O1183" t="s">
        <v>31</v>
      </c>
      <c r="P1183" s="54">
        <v>0.101604878304293</v>
      </c>
    </row>
    <row r="1184" spans="1:16">
      <c r="A1184" t="s">
        <v>3056</v>
      </c>
      <c r="B1184" t="s">
        <v>184</v>
      </c>
      <c r="C1184" t="s">
        <v>3057</v>
      </c>
      <c r="D1184" t="s">
        <v>27</v>
      </c>
      <c r="E1184" t="s">
        <v>48</v>
      </c>
      <c r="F1184" t="s">
        <v>77</v>
      </c>
      <c r="G1184">
        <v>3</v>
      </c>
      <c r="H1184">
        <v>1829.78</v>
      </c>
      <c r="I1184">
        <v>0.2</v>
      </c>
      <c r="J1184">
        <v>4391.47</v>
      </c>
      <c r="K1184">
        <v>335.34</v>
      </c>
      <c r="L1184">
        <v>3.6</v>
      </c>
      <c r="M1184" s="53">
        <v>45505</v>
      </c>
      <c r="N1184" t="s">
        <v>56</v>
      </c>
      <c r="O1184" t="s">
        <v>57</v>
      </c>
      <c r="P1184" s="54">
        <v>0.076361673881411</v>
      </c>
    </row>
    <row r="1185" spans="1:16">
      <c r="A1185" t="s">
        <v>3058</v>
      </c>
      <c r="B1185" t="s">
        <v>812</v>
      </c>
      <c r="C1185" t="s">
        <v>3059</v>
      </c>
      <c r="D1185" t="s">
        <v>40</v>
      </c>
      <c r="E1185" t="s">
        <v>41</v>
      </c>
      <c r="F1185" t="s">
        <v>91</v>
      </c>
      <c r="G1185">
        <v>1</v>
      </c>
      <c r="H1185">
        <v>15891.54</v>
      </c>
      <c r="I1185">
        <v>0</v>
      </c>
      <c r="J1185">
        <v>15891.54</v>
      </c>
      <c r="K1185">
        <v>3050.02</v>
      </c>
      <c r="L1185">
        <v>2.6</v>
      </c>
      <c r="M1185" s="53">
        <v>45068</v>
      </c>
      <c r="N1185" t="s">
        <v>56</v>
      </c>
      <c r="O1185" t="s">
        <v>23</v>
      </c>
      <c r="P1185" s="54">
        <v>0.191927277029161</v>
      </c>
    </row>
    <row r="1186" spans="1:16">
      <c r="A1186" t="s">
        <v>3060</v>
      </c>
      <c r="B1186" t="s">
        <v>449</v>
      </c>
      <c r="C1186" t="s">
        <v>3061</v>
      </c>
      <c r="D1186" t="s">
        <v>19</v>
      </c>
      <c r="E1186" t="s">
        <v>129</v>
      </c>
      <c r="F1186" t="s">
        <v>320</v>
      </c>
      <c r="G1186">
        <v>4</v>
      </c>
      <c r="H1186">
        <v>7584.46</v>
      </c>
      <c r="I1186">
        <v>0.2</v>
      </c>
      <c r="J1186">
        <v>24270.27</v>
      </c>
      <c r="K1186">
        <v>1264.69</v>
      </c>
      <c r="L1186">
        <v>3</v>
      </c>
      <c r="M1186" s="53">
        <v>45208</v>
      </c>
      <c r="N1186" t="s">
        <v>30</v>
      </c>
      <c r="O1186" t="s">
        <v>57</v>
      </c>
      <c r="P1186" s="54">
        <v>0.0521086085980914</v>
      </c>
    </row>
    <row r="1187" spans="1:16">
      <c r="A1187" t="s">
        <v>3062</v>
      </c>
      <c r="B1187" t="s">
        <v>1214</v>
      </c>
      <c r="C1187" t="s">
        <v>2060</v>
      </c>
      <c r="D1187" t="s">
        <v>19</v>
      </c>
      <c r="E1187" t="s">
        <v>35</v>
      </c>
      <c r="F1187" t="s">
        <v>121</v>
      </c>
      <c r="G1187">
        <v>2</v>
      </c>
      <c r="H1187">
        <v>18778.24</v>
      </c>
      <c r="I1187">
        <v>0.1</v>
      </c>
      <c r="J1187">
        <v>33800.83</v>
      </c>
      <c r="K1187">
        <v>2393.21</v>
      </c>
      <c r="L1187">
        <v>1.9</v>
      </c>
      <c r="M1187" s="53">
        <v>45431</v>
      </c>
      <c r="N1187" t="s">
        <v>43</v>
      </c>
      <c r="O1187" t="s">
        <v>73</v>
      </c>
      <c r="P1187" s="54">
        <v>0.0708032909251045</v>
      </c>
    </row>
    <row r="1188" spans="1:16">
      <c r="A1188" t="s">
        <v>3063</v>
      </c>
      <c r="B1188" t="s">
        <v>1833</v>
      </c>
      <c r="C1188" t="s">
        <v>3064</v>
      </c>
      <c r="D1188" t="s">
        <v>27</v>
      </c>
      <c r="E1188" t="s">
        <v>233</v>
      </c>
      <c r="F1188" t="s">
        <v>665</v>
      </c>
      <c r="G1188">
        <v>1</v>
      </c>
      <c r="H1188">
        <v>11924.58</v>
      </c>
      <c r="I1188">
        <v>0</v>
      </c>
      <c r="J1188">
        <v>11924.58</v>
      </c>
      <c r="K1188">
        <v>1276.66</v>
      </c>
      <c r="L1188">
        <v>3.2</v>
      </c>
      <c r="M1188" s="53">
        <v>45061</v>
      </c>
      <c r="N1188" t="s">
        <v>56</v>
      </c>
      <c r="O1188" t="s">
        <v>57</v>
      </c>
      <c r="P1188" s="54">
        <v>0.107061213057399</v>
      </c>
    </row>
    <row r="1189" spans="1:16">
      <c r="A1189" t="s">
        <v>3065</v>
      </c>
      <c r="B1189" t="s">
        <v>3066</v>
      </c>
      <c r="C1189" t="s">
        <v>3067</v>
      </c>
      <c r="D1189" t="s">
        <v>40</v>
      </c>
      <c r="E1189" t="s">
        <v>81</v>
      </c>
      <c r="F1189" t="s">
        <v>82</v>
      </c>
      <c r="G1189">
        <v>2</v>
      </c>
      <c r="H1189">
        <v>14603.65</v>
      </c>
      <c r="I1189">
        <v>0.2</v>
      </c>
      <c r="J1189">
        <v>23365.84</v>
      </c>
      <c r="K1189">
        <v>2106.91</v>
      </c>
      <c r="L1189">
        <v>4.9</v>
      </c>
      <c r="M1189" s="53">
        <v>44981</v>
      </c>
      <c r="N1189" t="s">
        <v>43</v>
      </c>
      <c r="O1189" t="s">
        <v>44</v>
      </c>
      <c r="P1189" s="54">
        <v>0.0901705224378837</v>
      </c>
    </row>
    <row r="1190" spans="1:16">
      <c r="A1190" t="s">
        <v>3068</v>
      </c>
      <c r="B1190" t="s">
        <v>937</v>
      </c>
      <c r="C1190" t="s">
        <v>3069</v>
      </c>
      <c r="D1190" t="s">
        <v>19</v>
      </c>
      <c r="E1190" t="s">
        <v>35</v>
      </c>
      <c r="F1190" t="s">
        <v>215</v>
      </c>
      <c r="G1190">
        <v>3</v>
      </c>
      <c r="H1190">
        <v>19195.9</v>
      </c>
      <c r="I1190">
        <v>0.1</v>
      </c>
      <c r="J1190">
        <v>51828.93</v>
      </c>
      <c r="K1190">
        <v>8958.84</v>
      </c>
      <c r="L1190">
        <v>1.7</v>
      </c>
      <c r="M1190" s="53">
        <v>45001</v>
      </c>
      <c r="N1190" t="s">
        <v>56</v>
      </c>
      <c r="O1190" t="s">
        <v>57</v>
      </c>
      <c r="P1190" s="54">
        <v>0.172854041169671</v>
      </c>
    </row>
    <row r="1191" spans="1:16">
      <c r="A1191" t="s">
        <v>3070</v>
      </c>
      <c r="B1191" t="s">
        <v>2482</v>
      </c>
      <c r="C1191" t="s">
        <v>3071</v>
      </c>
      <c r="D1191" t="s">
        <v>40</v>
      </c>
      <c r="E1191" t="s">
        <v>174</v>
      </c>
      <c r="F1191" t="s">
        <v>313</v>
      </c>
      <c r="G1191">
        <v>4</v>
      </c>
      <c r="H1191">
        <v>16607.59</v>
      </c>
      <c r="I1191">
        <v>0.15</v>
      </c>
      <c r="J1191">
        <v>56465.81</v>
      </c>
      <c r="K1191">
        <v>14046.29</v>
      </c>
      <c r="L1191">
        <v>2.9</v>
      </c>
      <c r="M1191" s="53">
        <v>45029</v>
      </c>
      <c r="N1191" t="s">
        <v>22</v>
      </c>
      <c r="O1191" t="s">
        <v>31</v>
      </c>
      <c r="P1191" s="54">
        <v>0.248757433923289</v>
      </c>
    </row>
    <row r="1192" spans="1:16">
      <c r="A1192" t="s">
        <v>3072</v>
      </c>
      <c r="B1192" t="s">
        <v>2610</v>
      </c>
      <c r="C1192" t="s">
        <v>3073</v>
      </c>
      <c r="D1192" t="s">
        <v>27</v>
      </c>
      <c r="E1192" t="s">
        <v>233</v>
      </c>
      <c r="F1192" t="s">
        <v>234</v>
      </c>
      <c r="G1192">
        <v>2</v>
      </c>
      <c r="H1192">
        <v>17111.09</v>
      </c>
      <c r="I1192">
        <v>0.05</v>
      </c>
      <c r="J1192">
        <v>32511.07</v>
      </c>
      <c r="K1192">
        <v>4333</v>
      </c>
      <c r="L1192">
        <v>4.2</v>
      </c>
      <c r="M1192" s="53">
        <v>45116</v>
      </c>
      <c r="N1192" t="s">
        <v>30</v>
      </c>
      <c r="O1192" t="s">
        <v>57</v>
      </c>
      <c r="P1192" s="54">
        <v>0.133277680494675</v>
      </c>
    </row>
    <row r="1193" spans="1:16">
      <c r="A1193" t="s">
        <v>3074</v>
      </c>
      <c r="B1193" t="s">
        <v>3075</v>
      </c>
      <c r="C1193" t="s">
        <v>3076</v>
      </c>
      <c r="D1193" t="s">
        <v>40</v>
      </c>
      <c r="E1193" t="s">
        <v>81</v>
      </c>
      <c r="F1193" t="s">
        <v>82</v>
      </c>
      <c r="G1193">
        <v>4</v>
      </c>
      <c r="H1193">
        <v>4844.05</v>
      </c>
      <c r="I1193">
        <v>0.15</v>
      </c>
      <c r="J1193">
        <v>16469.77</v>
      </c>
      <c r="K1193">
        <v>1140</v>
      </c>
      <c r="L1193">
        <v>3.3</v>
      </c>
      <c r="M1193" s="53">
        <v>44927</v>
      </c>
      <c r="N1193" t="s">
        <v>43</v>
      </c>
      <c r="O1193" t="s">
        <v>23</v>
      </c>
      <c r="P1193" s="54">
        <v>0.069217724351949</v>
      </c>
    </row>
    <row r="1194" spans="1:16">
      <c r="A1194" t="s">
        <v>3077</v>
      </c>
      <c r="B1194" t="s">
        <v>998</v>
      </c>
      <c r="C1194" t="s">
        <v>3078</v>
      </c>
      <c r="D1194" t="s">
        <v>27</v>
      </c>
      <c r="E1194" t="s">
        <v>48</v>
      </c>
      <c r="F1194" t="s">
        <v>49</v>
      </c>
      <c r="G1194">
        <v>1</v>
      </c>
      <c r="H1194">
        <v>18811.62</v>
      </c>
      <c r="I1194">
        <v>0.05</v>
      </c>
      <c r="J1194">
        <v>17871.04</v>
      </c>
      <c r="K1194">
        <v>3090.71</v>
      </c>
      <c r="L1194">
        <v>1.9</v>
      </c>
      <c r="M1194" s="53">
        <v>45564</v>
      </c>
      <c r="N1194" t="s">
        <v>56</v>
      </c>
      <c r="O1194" t="s">
        <v>31</v>
      </c>
      <c r="P1194" s="54">
        <v>0.172945167153115</v>
      </c>
    </row>
    <row r="1195" spans="1:16">
      <c r="A1195" t="s">
        <v>3079</v>
      </c>
      <c r="B1195" t="s">
        <v>979</v>
      </c>
      <c r="C1195" t="s">
        <v>3080</v>
      </c>
      <c r="D1195" t="s">
        <v>53</v>
      </c>
      <c r="E1195" t="s">
        <v>100</v>
      </c>
      <c r="F1195" t="s">
        <v>267</v>
      </c>
      <c r="G1195">
        <v>1</v>
      </c>
      <c r="H1195">
        <v>1433.48</v>
      </c>
      <c r="I1195">
        <v>0.15</v>
      </c>
      <c r="J1195">
        <v>1218.46</v>
      </c>
      <c r="K1195">
        <v>244.69</v>
      </c>
      <c r="L1195">
        <v>4.4</v>
      </c>
      <c r="M1195" s="53">
        <v>45606</v>
      </c>
      <c r="N1195" t="s">
        <v>30</v>
      </c>
      <c r="O1195" t="s">
        <v>44</v>
      </c>
      <c r="P1195" s="54">
        <v>0.200819066690741</v>
      </c>
    </row>
    <row r="1196" spans="1:16">
      <c r="A1196" t="s">
        <v>3081</v>
      </c>
      <c r="B1196" t="s">
        <v>2251</v>
      </c>
      <c r="C1196" t="s">
        <v>3082</v>
      </c>
      <c r="D1196" t="s">
        <v>40</v>
      </c>
      <c r="E1196" t="s">
        <v>81</v>
      </c>
      <c r="F1196" t="s">
        <v>241</v>
      </c>
      <c r="G1196">
        <v>2</v>
      </c>
      <c r="H1196">
        <v>4589.17</v>
      </c>
      <c r="I1196">
        <v>0.15</v>
      </c>
      <c r="J1196">
        <v>7801.59</v>
      </c>
      <c r="K1196">
        <v>1106.05</v>
      </c>
      <c r="L1196">
        <v>4.5</v>
      </c>
      <c r="M1196" s="53">
        <v>45544</v>
      </c>
      <c r="N1196" t="s">
        <v>56</v>
      </c>
      <c r="O1196" t="s">
        <v>31</v>
      </c>
      <c r="P1196" s="54">
        <v>0.141772382296429</v>
      </c>
    </row>
    <row r="1197" spans="1:16">
      <c r="A1197" t="s">
        <v>3083</v>
      </c>
      <c r="B1197" t="s">
        <v>3084</v>
      </c>
      <c r="C1197" t="s">
        <v>3085</v>
      </c>
      <c r="D1197" t="s">
        <v>27</v>
      </c>
      <c r="E1197" t="s">
        <v>117</v>
      </c>
      <c r="F1197" t="s">
        <v>192</v>
      </c>
      <c r="G1197">
        <v>1</v>
      </c>
      <c r="H1197">
        <v>7403.77</v>
      </c>
      <c r="I1197">
        <v>0.1</v>
      </c>
      <c r="J1197">
        <v>6663.39</v>
      </c>
      <c r="K1197">
        <v>1247.55</v>
      </c>
      <c r="L1197">
        <v>3</v>
      </c>
      <c r="M1197" s="53">
        <v>45548</v>
      </c>
      <c r="N1197" t="s">
        <v>22</v>
      </c>
      <c r="O1197" t="s">
        <v>44</v>
      </c>
      <c r="P1197" s="54">
        <v>0.187224520851999</v>
      </c>
    </row>
    <row r="1198" spans="1:16">
      <c r="A1198" t="s">
        <v>3086</v>
      </c>
      <c r="B1198" t="s">
        <v>3087</v>
      </c>
      <c r="C1198" t="s">
        <v>3088</v>
      </c>
      <c r="D1198" t="s">
        <v>19</v>
      </c>
      <c r="E1198" t="s">
        <v>129</v>
      </c>
      <c r="F1198" t="s">
        <v>130</v>
      </c>
      <c r="G1198">
        <v>2</v>
      </c>
      <c r="H1198">
        <v>3472.01</v>
      </c>
      <c r="I1198">
        <v>0.1</v>
      </c>
      <c r="J1198">
        <v>6249.62</v>
      </c>
      <c r="K1198">
        <v>1444.27</v>
      </c>
      <c r="L1198">
        <v>3.5</v>
      </c>
      <c r="M1198" s="53">
        <v>45102</v>
      </c>
      <c r="N1198" t="s">
        <v>56</v>
      </c>
      <c r="O1198" t="s">
        <v>57</v>
      </c>
      <c r="P1198" s="54">
        <v>0.231097250712843</v>
      </c>
    </row>
    <row r="1199" spans="1:16">
      <c r="A1199" t="s">
        <v>3089</v>
      </c>
      <c r="B1199" t="s">
        <v>3090</v>
      </c>
      <c r="C1199" t="s">
        <v>3091</v>
      </c>
      <c r="D1199" t="s">
        <v>19</v>
      </c>
      <c r="E1199" t="s">
        <v>35</v>
      </c>
      <c r="F1199" t="s">
        <v>215</v>
      </c>
      <c r="G1199">
        <v>4</v>
      </c>
      <c r="H1199">
        <v>19756.99</v>
      </c>
      <c r="I1199">
        <v>0.1</v>
      </c>
      <c r="J1199">
        <v>71125.16</v>
      </c>
      <c r="K1199">
        <v>3900.44</v>
      </c>
      <c r="L1199">
        <v>4.9</v>
      </c>
      <c r="M1199" s="53">
        <v>45071</v>
      </c>
      <c r="N1199" t="s">
        <v>30</v>
      </c>
      <c r="O1199" t="s">
        <v>44</v>
      </c>
      <c r="P1199" s="54">
        <v>0.0548391033496445</v>
      </c>
    </row>
    <row r="1200" spans="1:16">
      <c r="A1200" t="s">
        <v>3092</v>
      </c>
      <c r="B1200" t="s">
        <v>1087</v>
      </c>
      <c r="C1200" t="s">
        <v>3093</v>
      </c>
      <c r="D1200" t="s">
        <v>53</v>
      </c>
      <c r="E1200" t="s">
        <v>100</v>
      </c>
      <c r="F1200" t="s">
        <v>101</v>
      </c>
      <c r="G1200">
        <v>4</v>
      </c>
      <c r="H1200">
        <v>5091.34</v>
      </c>
      <c r="I1200">
        <v>0.2</v>
      </c>
      <c r="J1200">
        <v>16292.29</v>
      </c>
      <c r="K1200">
        <v>3376.06</v>
      </c>
      <c r="L1200">
        <v>1.5</v>
      </c>
      <c r="M1200" s="53">
        <v>44957</v>
      </c>
      <c r="N1200" t="s">
        <v>30</v>
      </c>
      <c r="O1200" t="s">
        <v>23</v>
      </c>
      <c r="P1200" s="54">
        <v>0.20721826090746</v>
      </c>
    </row>
    <row r="1201" spans="1:16">
      <c r="A1201" t="s">
        <v>3094</v>
      </c>
      <c r="B1201" t="s">
        <v>1603</v>
      </c>
      <c r="C1201" t="s">
        <v>3095</v>
      </c>
      <c r="D1201" t="s">
        <v>53</v>
      </c>
      <c r="E1201" t="s">
        <v>71</v>
      </c>
      <c r="F1201" t="s">
        <v>150</v>
      </c>
      <c r="G1201">
        <v>2</v>
      </c>
      <c r="H1201">
        <v>5263.32</v>
      </c>
      <c r="I1201">
        <v>0.1</v>
      </c>
      <c r="J1201">
        <v>9473.98</v>
      </c>
      <c r="K1201">
        <v>1361.2</v>
      </c>
      <c r="L1201">
        <v>4.9</v>
      </c>
      <c r="M1201" s="53">
        <v>44967</v>
      </c>
      <c r="N1201" t="s">
        <v>30</v>
      </c>
      <c r="O1201" t="s">
        <v>73</v>
      </c>
      <c r="P1201" s="54">
        <v>0.143677736284012</v>
      </c>
    </row>
    <row r="1202" spans="1:16">
      <c r="A1202" t="s">
        <v>3096</v>
      </c>
      <c r="B1202" t="s">
        <v>2840</v>
      </c>
      <c r="C1202" t="s">
        <v>3097</v>
      </c>
      <c r="D1202" t="s">
        <v>53</v>
      </c>
      <c r="E1202" t="s">
        <v>95</v>
      </c>
      <c r="F1202" t="s">
        <v>306</v>
      </c>
      <c r="G1202">
        <v>1</v>
      </c>
      <c r="H1202">
        <v>7988.25</v>
      </c>
      <c r="I1202">
        <v>0.2</v>
      </c>
      <c r="J1202">
        <v>6390.6</v>
      </c>
      <c r="K1202">
        <v>822.32</v>
      </c>
      <c r="L1202">
        <v>4.1</v>
      </c>
      <c r="M1202" s="53">
        <v>45235</v>
      </c>
      <c r="N1202" t="s">
        <v>56</v>
      </c>
      <c r="O1202" t="s">
        <v>31</v>
      </c>
      <c r="P1202" s="54">
        <v>0.128676493599975</v>
      </c>
    </row>
    <row r="1203" spans="1:16">
      <c r="A1203" t="s">
        <v>3098</v>
      </c>
      <c r="B1203" t="s">
        <v>1454</v>
      </c>
      <c r="C1203" t="s">
        <v>3099</v>
      </c>
      <c r="D1203" t="s">
        <v>40</v>
      </c>
      <c r="E1203" t="s">
        <v>262</v>
      </c>
      <c r="F1203" t="s">
        <v>385</v>
      </c>
      <c r="G1203">
        <v>4</v>
      </c>
      <c r="H1203">
        <v>12651.7</v>
      </c>
      <c r="I1203">
        <v>0.1</v>
      </c>
      <c r="J1203">
        <v>45546.12</v>
      </c>
      <c r="K1203">
        <v>9339.58</v>
      </c>
      <c r="L1203">
        <v>3.9</v>
      </c>
      <c r="M1203" s="53">
        <v>45611</v>
      </c>
      <c r="N1203" t="s">
        <v>43</v>
      </c>
      <c r="O1203" t="s">
        <v>44</v>
      </c>
      <c r="P1203" s="54">
        <v>0.20505764267077</v>
      </c>
    </row>
    <row r="1204" spans="1:16">
      <c r="A1204" t="s">
        <v>3100</v>
      </c>
      <c r="B1204" t="s">
        <v>3101</v>
      </c>
      <c r="C1204" t="s">
        <v>3102</v>
      </c>
      <c r="D1204" t="s">
        <v>40</v>
      </c>
      <c r="E1204" t="s">
        <v>174</v>
      </c>
      <c r="F1204" t="s">
        <v>175</v>
      </c>
      <c r="G1204">
        <v>2</v>
      </c>
      <c r="H1204">
        <v>18779.34</v>
      </c>
      <c r="I1204">
        <v>0.05</v>
      </c>
      <c r="J1204">
        <v>35680.75</v>
      </c>
      <c r="K1204">
        <v>2730.78</v>
      </c>
      <c r="L1204">
        <v>4.8</v>
      </c>
      <c r="M1204" s="53">
        <v>45412</v>
      </c>
      <c r="N1204" t="s">
        <v>43</v>
      </c>
      <c r="O1204" t="s">
        <v>73</v>
      </c>
      <c r="P1204" s="54">
        <v>0.0765337051491351</v>
      </c>
    </row>
    <row r="1205" spans="1:16">
      <c r="A1205" t="s">
        <v>3103</v>
      </c>
      <c r="B1205" t="s">
        <v>446</v>
      </c>
      <c r="C1205" t="s">
        <v>1847</v>
      </c>
      <c r="D1205" t="s">
        <v>40</v>
      </c>
      <c r="E1205" t="s">
        <v>41</v>
      </c>
      <c r="F1205" t="s">
        <v>125</v>
      </c>
      <c r="G1205">
        <v>3</v>
      </c>
      <c r="H1205">
        <v>12194.45</v>
      </c>
      <c r="I1205">
        <v>0</v>
      </c>
      <c r="J1205">
        <v>36583.35</v>
      </c>
      <c r="K1205">
        <v>4227.93</v>
      </c>
      <c r="L1205">
        <v>3</v>
      </c>
      <c r="M1205" s="53">
        <v>45059</v>
      </c>
      <c r="N1205" t="s">
        <v>30</v>
      </c>
      <c r="O1205" t="s">
        <v>31</v>
      </c>
      <c r="P1205" s="54">
        <v>0.115569787895313</v>
      </c>
    </row>
    <row r="1206" spans="1:16">
      <c r="A1206" t="s">
        <v>3104</v>
      </c>
      <c r="B1206" t="s">
        <v>1222</v>
      </c>
      <c r="C1206" t="s">
        <v>3105</v>
      </c>
      <c r="D1206" t="s">
        <v>40</v>
      </c>
      <c r="E1206" t="s">
        <v>174</v>
      </c>
      <c r="F1206" t="s">
        <v>313</v>
      </c>
      <c r="G1206">
        <v>2</v>
      </c>
      <c r="H1206">
        <v>5290.84</v>
      </c>
      <c r="I1206">
        <v>0.2</v>
      </c>
      <c r="J1206">
        <v>8465.34</v>
      </c>
      <c r="K1206">
        <v>527.72</v>
      </c>
      <c r="L1206">
        <v>4</v>
      </c>
      <c r="M1206" s="53">
        <v>45422</v>
      </c>
      <c r="N1206" t="s">
        <v>22</v>
      </c>
      <c r="O1206" t="s">
        <v>31</v>
      </c>
      <c r="P1206" s="54">
        <v>0.0623389019224272</v>
      </c>
    </row>
    <row r="1207" spans="1:16">
      <c r="A1207" t="s">
        <v>3106</v>
      </c>
      <c r="B1207" t="s">
        <v>107</v>
      </c>
      <c r="C1207" t="s">
        <v>3107</v>
      </c>
      <c r="D1207" t="s">
        <v>53</v>
      </c>
      <c r="E1207" t="s">
        <v>54</v>
      </c>
      <c r="F1207" t="s">
        <v>258</v>
      </c>
      <c r="G1207">
        <v>2</v>
      </c>
      <c r="H1207">
        <v>17166.91</v>
      </c>
      <c r="I1207">
        <v>0.05</v>
      </c>
      <c r="J1207">
        <v>32617.13</v>
      </c>
      <c r="K1207">
        <v>4044.35</v>
      </c>
      <c r="L1207">
        <v>3.6</v>
      </c>
      <c r="M1207" s="53">
        <v>45406</v>
      </c>
      <c r="N1207" t="s">
        <v>56</v>
      </c>
      <c r="O1207" t="s">
        <v>57</v>
      </c>
      <c r="P1207" s="54">
        <v>0.123994661700769</v>
      </c>
    </row>
    <row r="1208" spans="1:16">
      <c r="A1208" t="s">
        <v>3108</v>
      </c>
      <c r="B1208" t="s">
        <v>2371</v>
      </c>
      <c r="C1208" t="s">
        <v>3109</v>
      </c>
      <c r="D1208" t="s">
        <v>53</v>
      </c>
      <c r="E1208" t="s">
        <v>54</v>
      </c>
      <c r="F1208" t="s">
        <v>55</v>
      </c>
      <c r="G1208">
        <v>2</v>
      </c>
      <c r="H1208">
        <v>7266.56</v>
      </c>
      <c r="I1208">
        <v>0.05</v>
      </c>
      <c r="J1208">
        <v>13806.46</v>
      </c>
      <c r="K1208">
        <v>3003.57</v>
      </c>
      <c r="L1208">
        <v>4</v>
      </c>
      <c r="M1208" s="53">
        <v>45438</v>
      </c>
      <c r="N1208" t="s">
        <v>43</v>
      </c>
      <c r="O1208" t="s">
        <v>44</v>
      </c>
      <c r="P1208" s="54">
        <v>0.217548162237098</v>
      </c>
    </row>
    <row r="1209" spans="1:16">
      <c r="A1209" t="s">
        <v>3110</v>
      </c>
      <c r="B1209" t="s">
        <v>288</v>
      </c>
      <c r="C1209" t="s">
        <v>3111</v>
      </c>
      <c r="D1209" t="s">
        <v>27</v>
      </c>
      <c r="E1209" t="s">
        <v>48</v>
      </c>
      <c r="F1209" t="s">
        <v>64</v>
      </c>
      <c r="G1209">
        <v>3</v>
      </c>
      <c r="H1209">
        <v>6446.66</v>
      </c>
      <c r="I1209">
        <v>0.05</v>
      </c>
      <c r="J1209">
        <v>18372.98</v>
      </c>
      <c r="K1209">
        <v>2797.61</v>
      </c>
      <c r="L1209">
        <v>1.8</v>
      </c>
      <c r="M1209" s="53">
        <v>45468</v>
      </c>
      <c r="N1209" t="s">
        <v>43</v>
      </c>
      <c r="O1209" t="s">
        <v>73</v>
      </c>
      <c r="P1209" s="54">
        <v>0.152267623433978</v>
      </c>
    </row>
    <row r="1210" spans="1:16">
      <c r="A1210" t="s">
        <v>3112</v>
      </c>
      <c r="B1210" t="s">
        <v>1222</v>
      </c>
      <c r="C1210" t="s">
        <v>3113</v>
      </c>
      <c r="D1210" t="s">
        <v>27</v>
      </c>
      <c r="E1210" t="s">
        <v>233</v>
      </c>
      <c r="F1210" t="s">
        <v>665</v>
      </c>
      <c r="G1210">
        <v>1</v>
      </c>
      <c r="H1210">
        <v>14388.11</v>
      </c>
      <c r="I1210">
        <v>0.15</v>
      </c>
      <c r="J1210">
        <v>12229.89</v>
      </c>
      <c r="K1210">
        <v>1689.33</v>
      </c>
      <c r="L1210">
        <v>4.8</v>
      </c>
      <c r="M1210" s="53">
        <v>45458</v>
      </c>
      <c r="N1210" t="s">
        <v>30</v>
      </c>
      <c r="O1210" t="s">
        <v>73</v>
      </c>
      <c r="P1210" s="54">
        <v>0.138131250567258</v>
      </c>
    </row>
    <row r="1211" spans="1:16">
      <c r="A1211" t="s">
        <v>3114</v>
      </c>
      <c r="B1211" t="s">
        <v>340</v>
      </c>
      <c r="C1211" t="s">
        <v>3115</v>
      </c>
      <c r="D1211" t="s">
        <v>19</v>
      </c>
      <c r="E1211" t="s">
        <v>129</v>
      </c>
      <c r="F1211" t="s">
        <v>302</v>
      </c>
      <c r="G1211">
        <v>1</v>
      </c>
      <c r="H1211">
        <v>16542.23</v>
      </c>
      <c r="I1211">
        <v>0</v>
      </c>
      <c r="J1211">
        <v>16542.23</v>
      </c>
      <c r="K1211">
        <v>1060.68</v>
      </c>
      <c r="L1211">
        <v>1.2</v>
      </c>
      <c r="M1211" s="53">
        <v>45047</v>
      </c>
      <c r="N1211" t="s">
        <v>43</v>
      </c>
      <c r="O1211" t="s">
        <v>44</v>
      </c>
      <c r="P1211" s="54">
        <v>0.0641195292291305</v>
      </c>
    </row>
    <row r="1212" spans="1:16">
      <c r="A1212" t="s">
        <v>3116</v>
      </c>
      <c r="B1212" t="s">
        <v>1140</v>
      </c>
      <c r="C1212" t="s">
        <v>3117</v>
      </c>
      <c r="D1212" t="s">
        <v>19</v>
      </c>
      <c r="E1212" t="s">
        <v>129</v>
      </c>
      <c r="F1212" t="s">
        <v>320</v>
      </c>
      <c r="G1212">
        <v>3</v>
      </c>
      <c r="H1212">
        <v>6864.16</v>
      </c>
      <c r="I1212">
        <v>0</v>
      </c>
      <c r="J1212">
        <v>20592.48</v>
      </c>
      <c r="K1212">
        <v>4823.1</v>
      </c>
      <c r="L1212">
        <v>1</v>
      </c>
      <c r="M1212" s="53">
        <v>45174</v>
      </c>
      <c r="N1212" t="s">
        <v>43</v>
      </c>
      <c r="O1212" t="s">
        <v>23</v>
      </c>
      <c r="P1212" s="54">
        <v>0.234216568378359</v>
      </c>
    </row>
    <row r="1213" spans="1:16">
      <c r="A1213" t="s">
        <v>3118</v>
      </c>
      <c r="B1213" t="s">
        <v>387</v>
      </c>
      <c r="C1213" t="s">
        <v>3119</v>
      </c>
      <c r="D1213" t="s">
        <v>40</v>
      </c>
      <c r="E1213" t="s">
        <v>174</v>
      </c>
      <c r="F1213" t="s">
        <v>199</v>
      </c>
      <c r="G1213">
        <v>2</v>
      </c>
      <c r="H1213">
        <v>18916.48</v>
      </c>
      <c r="I1213">
        <v>0.05</v>
      </c>
      <c r="J1213">
        <v>35941.31</v>
      </c>
      <c r="K1213">
        <v>7845.07</v>
      </c>
      <c r="L1213">
        <v>4.5</v>
      </c>
      <c r="M1213" s="53">
        <v>45062</v>
      </c>
      <c r="N1213" t="s">
        <v>56</v>
      </c>
      <c r="O1213" t="s">
        <v>31</v>
      </c>
      <c r="P1213" s="54">
        <v>0.218274459111257</v>
      </c>
    </row>
    <row r="1214" spans="1:16">
      <c r="A1214" t="s">
        <v>3120</v>
      </c>
      <c r="B1214" t="s">
        <v>3121</v>
      </c>
      <c r="C1214" t="s">
        <v>3122</v>
      </c>
      <c r="D1214" t="s">
        <v>53</v>
      </c>
      <c r="E1214" t="s">
        <v>71</v>
      </c>
      <c r="F1214" t="s">
        <v>406</v>
      </c>
      <c r="G1214">
        <v>4</v>
      </c>
      <c r="H1214">
        <v>18509.22</v>
      </c>
      <c r="I1214">
        <v>0</v>
      </c>
      <c r="J1214">
        <v>74036.88</v>
      </c>
      <c r="K1214">
        <v>7798.45</v>
      </c>
      <c r="L1214">
        <v>3.6</v>
      </c>
      <c r="M1214" s="53">
        <v>44962</v>
      </c>
      <c r="N1214" t="s">
        <v>22</v>
      </c>
      <c r="O1214" t="s">
        <v>73</v>
      </c>
      <c r="P1214" s="54">
        <v>0.105331964285907</v>
      </c>
    </row>
    <row r="1215" spans="1:16">
      <c r="A1215" t="s">
        <v>3123</v>
      </c>
      <c r="B1215" t="s">
        <v>3124</v>
      </c>
      <c r="C1215" t="s">
        <v>3125</v>
      </c>
      <c r="D1215" t="s">
        <v>27</v>
      </c>
      <c r="E1215" t="s">
        <v>233</v>
      </c>
      <c r="F1215" t="s">
        <v>362</v>
      </c>
      <c r="G1215">
        <v>3</v>
      </c>
      <c r="H1215">
        <v>14233.25</v>
      </c>
      <c r="I1215">
        <v>0.05</v>
      </c>
      <c r="J1215">
        <v>40564.76</v>
      </c>
      <c r="K1215">
        <v>3660.33</v>
      </c>
      <c r="L1215">
        <v>3.7</v>
      </c>
      <c r="M1215" s="53">
        <v>44930</v>
      </c>
      <c r="N1215" t="s">
        <v>22</v>
      </c>
      <c r="O1215" t="s">
        <v>57</v>
      </c>
      <c r="P1215" s="54">
        <v>0.0902342328661626</v>
      </c>
    </row>
    <row r="1216" spans="1:16">
      <c r="A1216" t="s">
        <v>3126</v>
      </c>
      <c r="B1216" t="s">
        <v>2292</v>
      </c>
      <c r="C1216" t="s">
        <v>3127</v>
      </c>
      <c r="D1216" t="s">
        <v>19</v>
      </c>
      <c r="E1216" t="s">
        <v>129</v>
      </c>
      <c r="F1216" t="s">
        <v>320</v>
      </c>
      <c r="G1216">
        <v>5</v>
      </c>
      <c r="H1216">
        <v>18505.82</v>
      </c>
      <c r="I1216">
        <v>0</v>
      </c>
      <c r="J1216">
        <v>92529.1</v>
      </c>
      <c r="K1216">
        <v>10244.31</v>
      </c>
      <c r="L1216">
        <v>4.9</v>
      </c>
      <c r="M1216" s="53">
        <v>45200</v>
      </c>
      <c r="N1216" t="s">
        <v>56</v>
      </c>
      <c r="O1216" t="s">
        <v>57</v>
      </c>
      <c r="P1216" s="54">
        <v>0.110714467124397</v>
      </c>
    </row>
    <row r="1217" spans="1:16">
      <c r="A1217" t="s">
        <v>3128</v>
      </c>
      <c r="B1217" t="s">
        <v>3084</v>
      </c>
      <c r="C1217" t="s">
        <v>3129</v>
      </c>
      <c r="D1217" t="s">
        <v>40</v>
      </c>
      <c r="E1217" t="s">
        <v>262</v>
      </c>
      <c r="F1217" t="s">
        <v>773</v>
      </c>
      <c r="G1217">
        <v>1</v>
      </c>
      <c r="H1217">
        <v>14832.4</v>
      </c>
      <c r="I1217">
        <v>0.05</v>
      </c>
      <c r="J1217">
        <v>14090.78</v>
      </c>
      <c r="K1217">
        <v>1338.98</v>
      </c>
      <c r="L1217">
        <v>2.2</v>
      </c>
      <c r="M1217" s="53">
        <v>44946</v>
      </c>
      <c r="N1217" t="s">
        <v>22</v>
      </c>
      <c r="O1217" t="s">
        <v>57</v>
      </c>
      <c r="P1217" s="54">
        <v>0.0950252576507475</v>
      </c>
    </row>
    <row r="1218" spans="1:16">
      <c r="A1218" t="s">
        <v>3130</v>
      </c>
      <c r="B1218" t="s">
        <v>1595</v>
      </c>
      <c r="C1218" t="s">
        <v>3131</v>
      </c>
      <c r="D1218" t="s">
        <v>53</v>
      </c>
      <c r="E1218" t="s">
        <v>95</v>
      </c>
      <c r="F1218" t="s">
        <v>524</v>
      </c>
      <c r="G1218">
        <v>5</v>
      </c>
      <c r="H1218">
        <v>8609.34</v>
      </c>
      <c r="I1218">
        <v>0.1</v>
      </c>
      <c r="J1218">
        <v>38742.03</v>
      </c>
      <c r="K1218">
        <v>3087.74</v>
      </c>
      <c r="L1218">
        <v>2.2</v>
      </c>
      <c r="M1218" s="53">
        <v>45339</v>
      </c>
      <c r="N1218" t="s">
        <v>43</v>
      </c>
      <c r="O1218" t="s">
        <v>23</v>
      </c>
      <c r="P1218" s="54">
        <v>0.0797000053946579</v>
      </c>
    </row>
    <row r="1219" spans="1:16">
      <c r="A1219" t="s">
        <v>3132</v>
      </c>
      <c r="B1219" t="s">
        <v>2234</v>
      </c>
      <c r="C1219" t="s">
        <v>3133</v>
      </c>
      <c r="D1219" t="s">
        <v>40</v>
      </c>
      <c r="E1219" t="s">
        <v>262</v>
      </c>
      <c r="F1219" t="s">
        <v>773</v>
      </c>
      <c r="G1219">
        <v>5</v>
      </c>
      <c r="H1219">
        <v>4523.26</v>
      </c>
      <c r="I1219">
        <v>0</v>
      </c>
      <c r="J1219">
        <v>22616.3</v>
      </c>
      <c r="K1219">
        <v>1928.97</v>
      </c>
      <c r="L1219">
        <v>2</v>
      </c>
      <c r="M1219" s="53">
        <v>45603</v>
      </c>
      <c r="N1219" t="s">
        <v>56</v>
      </c>
      <c r="O1219" t="s">
        <v>44</v>
      </c>
      <c r="P1219" s="54">
        <v>0.0852911395763233</v>
      </c>
    </row>
    <row r="1220" spans="1:16">
      <c r="A1220" t="s">
        <v>3134</v>
      </c>
      <c r="B1220" t="s">
        <v>1640</v>
      </c>
      <c r="C1220" t="s">
        <v>3135</v>
      </c>
      <c r="D1220" t="s">
        <v>27</v>
      </c>
      <c r="E1220" t="s">
        <v>28</v>
      </c>
      <c r="F1220" t="s">
        <v>225</v>
      </c>
      <c r="G1220">
        <v>3</v>
      </c>
      <c r="H1220">
        <v>11018.38</v>
      </c>
      <c r="I1220">
        <v>0.15</v>
      </c>
      <c r="J1220">
        <v>28096.87</v>
      </c>
      <c r="K1220">
        <v>4492.94</v>
      </c>
      <c r="L1220">
        <v>4.2</v>
      </c>
      <c r="M1220" s="53">
        <v>45468</v>
      </c>
      <c r="N1220" t="s">
        <v>43</v>
      </c>
      <c r="O1220" t="s">
        <v>31</v>
      </c>
      <c r="P1220" s="54">
        <v>0.15990891512115</v>
      </c>
    </row>
    <row r="1221" spans="1:16">
      <c r="A1221" t="s">
        <v>3136</v>
      </c>
      <c r="B1221" t="s">
        <v>3137</v>
      </c>
      <c r="C1221" t="s">
        <v>3138</v>
      </c>
      <c r="D1221" t="s">
        <v>40</v>
      </c>
      <c r="E1221" t="s">
        <v>41</v>
      </c>
      <c r="F1221" t="s">
        <v>125</v>
      </c>
      <c r="G1221">
        <v>2</v>
      </c>
      <c r="H1221">
        <v>12053.28</v>
      </c>
      <c r="I1221">
        <v>0.2</v>
      </c>
      <c r="J1221">
        <v>19285.25</v>
      </c>
      <c r="K1221">
        <v>1003.75</v>
      </c>
      <c r="L1221">
        <v>1.4</v>
      </c>
      <c r="M1221" s="53">
        <v>45418</v>
      </c>
      <c r="N1221" t="s">
        <v>56</v>
      </c>
      <c r="O1221" t="s">
        <v>44</v>
      </c>
      <c r="P1221" s="54">
        <v>0.0520475492928533</v>
      </c>
    </row>
    <row r="1222" spans="1:16">
      <c r="A1222" t="s">
        <v>3139</v>
      </c>
      <c r="B1222" t="s">
        <v>2407</v>
      </c>
      <c r="C1222" t="s">
        <v>3140</v>
      </c>
      <c r="D1222" t="s">
        <v>19</v>
      </c>
      <c r="E1222" t="s">
        <v>20</v>
      </c>
      <c r="F1222" t="s">
        <v>121</v>
      </c>
      <c r="G1222">
        <v>1</v>
      </c>
      <c r="H1222">
        <v>14862.85</v>
      </c>
      <c r="I1222">
        <v>0</v>
      </c>
      <c r="J1222">
        <v>14862.85</v>
      </c>
      <c r="K1222">
        <v>3552.05</v>
      </c>
      <c r="L1222">
        <v>3.5</v>
      </c>
      <c r="M1222" s="53">
        <v>45401</v>
      </c>
      <c r="N1222" t="s">
        <v>43</v>
      </c>
      <c r="O1222" t="s">
        <v>23</v>
      </c>
      <c r="P1222" s="54">
        <v>0.238988484711882</v>
      </c>
    </row>
    <row r="1223" spans="1:16">
      <c r="A1223" t="s">
        <v>3141</v>
      </c>
      <c r="B1223" t="s">
        <v>2101</v>
      </c>
      <c r="C1223" t="s">
        <v>3142</v>
      </c>
      <c r="D1223" t="s">
        <v>27</v>
      </c>
      <c r="E1223" t="s">
        <v>48</v>
      </c>
      <c r="F1223" t="s">
        <v>77</v>
      </c>
      <c r="G1223">
        <v>2</v>
      </c>
      <c r="H1223">
        <v>19073.28</v>
      </c>
      <c r="I1223">
        <v>0.2</v>
      </c>
      <c r="J1223">
        <v>30517.25</v>
      </c>
      <c r="K1223">
        <v>4324</v>
      </c>
      <c r="L1223">
        <v>2.9</v>
      </c>
      <c r="M1223" s="53">
        <v>44964</v>
      </c>
      <c r="N1223" t="s">
        <v>56</v>
      </c>
      <c r="O1223" t="s">
        <v>57</v>
      </c>
      <c r="P1223" s="54">
        <v>0.141690355454702</v>
      </c>
    </row>
    <row r="1224" spans="1:16">
      <c r="A1224" t="s">
        <v>3143</v>
      </c>
      <c r="B1224" t="s">
        <v>494</v>
      </c>
      <c r="C1224" t="s">
        <v>3144</v>
      </c>
      <c r="D1224" t="s">
        <v>19</v>
      </c>
      <c r="E1224" t="s">
        <v>20</v>
      </c>
      <c r="F1224" t="s">
        <v>21</v>
      </c>
      <c r="G1224">
        <v>1</v>
      </c>
      <c r="H1224">
        <v>14879.93</v>
      </c>
      <c r="I1224">
        <v>0.05</v>
      </c>
      <c r="J1224">
        <v>14135.93</v>
      </c>
      <c r="K1224">
        <v>3016.23</v>
      </c>
      <c r="L1224">
        <v>2.6</v>
      </c>
      <c r="M1224" s="53">
        <v>45623</v>
      </c>
      <c r="N1224" t="s">
        <v>22</v>
      </c>
      <c r="O1224" t="s">
        <v>31</v>
      </c>
      <c r="P1224" s="54">
        <v>0.213373297688939</v>
      </c>
    </row>
    <row r="1225" spans="1:16">
      <c r="A1225" t="s">
        <v>3145</v>
      </c>
      <c r="B1225" t="s">
        <v>3146</v>
      </c>
      <c r="C1225" t="s">
        <v>3147</v>
      </c>
      <c r="D1225" t="s">
        <v>19</v>
      </c>
      <c r="E1225" t="s">
        <v>86</v>
      </c>
      <c r="F1225" t="s">
        <v>87</v>
      </c>
      <c r="G1225">
        <v>2</v>
      </c>
      <c r="H1225">
        <v>19589.9</v>
      </c>
      <c r="I1225">
        <v>0.2</v>
      </c>
      <c r="J1225">
        <v>31343.84</v>
      </c>
      <c r="K1225">
        <v>2890.58</v>
      </c>
      <c r="L1225">
        <v>2.4</v>
      </c>
      <c r="M1225" s="53">
        <v>44953</v>
      </c>
      <c r="N1225" t="s">
        <v>43</v>
      </c>
      <c r="O1225" t="s">
        <v>44</v>
      </c>
      <c r="P1225" s="54">
        <v>0.0922216295131675</v>
      </c>
    </row>
    <row r="1226" spans="1:16">
      <c r="A1226" t="s">
        <v>3148</v>
      </c>
      <c r="B1226" t="s">
        <v>2553</v>
      </c>
      <c r="C1226" t="s">
        <v>3149</v>
      </c>
      <c r="D1226" t="s">
        <v>27</v>
      </c>
      <c r="E1226" t="s">
        <v>48</v>
      </c>
      <c r="F1226" t="s">
        <v>49</v>
      </c>
      <c r="G1226">
        <v>3</v>
      </c>
      <c r="H1226">
        <v>2607.76</v>
      </c>
      <c r="I1226">
        <v>0.05</v>
      </c>
      <c r="J1226">
        <v>7432.12</v>
      </c>
      <c r="K1226">
        <v>498.51</v>
      </c>
      <c r="L1226">
        <v>1.6</v>
      </c>
      <c r="M1226" s="53">
        <v>45262</v>
      </c>
      <c r="N1226" t="s">
        <v>30</v>
      </c>
      <c r="O1226" t="s">
        <v>31</v>
      </c>
      <c r="P1226" s="54">
        <v>0.0670750741376619</v>
      </c>
    </row>
    <row r="1227" spans="1:16">
      <c r="A1227" t="s">
        <v>3150</v>
      </c>
      <c r="B1227" t="s">
        <v>783</v>
      </c>
      <c r="C1227" t="s">
        <v>3151</v>
      </c>
      <c r="D1227" t="s">
        <v>19</v>
      </c>
      <c r="E1227" t="s">
        <v>129</v>
      </c>
      <c r="F1227" t="s">
        <v>130</v>
      </c>
      <c r="G1227">
        <v>5</v>
      </c>
      <c r="H1227">
        <v>4263.99</v>
      </c>
      <c r="I1227">
        <v>0.1</v>
      </c>
      <c r="J1227">
        <v>19187.95</v>
      </c>
      <c r="K1227">
        <v>4470.16</v>
      </c>
      <c r="L1227">
        <v>3.2</v>
      </c>
      <c r="M1227" s="53">
        <v>45079</v>
      </c>
      <c r="N1227" t="s">
        <v>30</v>
      </c>
      <c r="O1227" t="s">
        <v>73</v>
      </c>
      <c r="P1227" s="54">
        <v>0.232967044421108</v>
      </c>
    </row>
    <row r="1228" spans="1:16">
      <c r="A1228" t="s">
        <v>3152</v>
      </c>
      <c r="B1228" t="s">
        <v>840</v>
      </c>
      <c r="C1228" t="s">
        <v>3153</v>
      </c>
      <c r="D1228" t="s">
        <v>27</v>
      </c>
      <c r="E1228" t="s">
        <v>28</v>
      </c>
      <c r="F1228" t="s">
        <v>225</v>
      </c>
      <c r="G1228">
        <v>2</v>
      </c>
      <c r="H1228">
        <v>10818.96</v>
      </c>
      <c r="I1228">
        <v>0.05</v>
      </c>
      <c r="J1228">
        <v>20556.02</v>
      </c>
      <c r="K1228">
        <v>2129.64</v>
      </c>
      <c r="L1228">
        <v>2.2</v>
      </c>
      <c r="M1228" s="53">
        <v>45546</v>
      </c>
      <c r="N1228" t="s">
        <v>30</v>
      </c>
      <c r="O1228" t="s">
        <v>73</v>
      </c>
      <c r="P1228" s="54">
        <v>0.103601767268177</v>
      </c>
    </row>
    <row r="1229" spans="1:16">
      <c r="A1229" t="s">
        <v>3154</v>
      </c>
      <c r="B1229" t="s">
        <v>886</v>
      </c>
      <c r="C1229" t="s">
        <v>3155</v>
      </c>
      <c r="D1229" t="s">
        <v>27</v>
      </c>
      <c r="E1229" t="s">
        <v>117</v>
      </c>
      <c r="F1229" t="s">
        <v>505</v>
      </c>
      <c r="G1229">
        <v>4</v>
      </c>
      <c r="H1229">
        <v>19365.57</v>
      </c>
      <c r="I1229">
        <v>0.1</v>
      </c>
      <c r="J1229">
        <v>69716.05</v>
      </c>
      <c r="K1229">
        <v>3970.88</v>
      </c>
      <c r="L1229">
        <v>3.5</v>
      </c>
      <c r="M1229" s="53">
        <v>45298</v>
      </c>
      <c r="N1229" t="s">
        <v>30</v>
      </c>
      <c r="O1229" t="s">
        <v>57</v>
      </c>
      <c r="P1229" s="54">
        <v>0.0569579028071728</v>
      </c>
    </row>
    <row r="1230" spans="1:16">
      <c r="A1230" t="s">
        <v>3156</v>
      </c>
      <c r="B1230" t="s">
        <v>3157</v>
      </c>
      <c r="C1230" t="s">
        <v>3158</v>
      </c>
      <c r="D1230" t="s">
        <v>53</v>
      </c>
      <c r="E1230" t="s">
        <v>71</v>
      </c>
      <c r="F1230" t="s">
        <v>406</v>
      </c>
      <c r="G1230">
        <v>3</v>
      </c>
      <c r="H1230">
        <v>10677.79</v>
      </c>
      <c r="I1230">
        <v>0.2</v>
      </c>
      <c r="J1230">
        <v>25626.7</v>
      </c>
      <c r="K1230">
        <v>1743.92</v>
      </c>
      <c r="L1230">
        <v>1.3</v>
      </c>
      <c r="M1230" s="53">
        <v>45331</v>
      </c>
      <c r="N1230" t="s">
        <v>22</v>
      </c>
      <c r="O1230" t="s">
        <v>57</v>
      </c>
      <c r="P1230" s="54">
        <v>0.0680509000378511</v>
      </c>
    </row>
    <row r="1231" spans="1:16">
      <c r="A1231" t="s">
        <v>3159</v>
      </c>
      <c r="B1231" t="s">
        <v>2695</v>
      </c>
      <c r="C1231" t="s">
        <v>3160</v>
      </c>
      <c r="D1231" t="s">
        <v>40</v>
      </c>
      <c r="E1231" t="s">
        <v>81</v>
      </c>
      <c r="F1231" t="s">
        <v>82</v>
      </c>
      <c r="G1231">
        <v>2</v>
      </c>
      <c r="H1231">
        <v>558.83</v>
      </c>
      <c r="I1231">
        <v>0.2</v>
      </c>
      <c r="J1231">
        <v>894.13</v>
      </c>
      <c r="K1231">
        <v>187.39</v>
      </c>
      <c r="L1231">
        <v>1.2</v>
      </c>
      <c r="M1231" s="53">
        <v>45544</v>
      </c>
      <c r="N1231" t="s">
        <v>43</v>
      </c>
      <c r="O1231" t="s">
        <v>73</v>
      </c>
      <c r="P1231" s="54">
        <v>0.209578025566752</v>
      </c>
    </row>
    <row r="1232" spans="1:16">
      <c r="A1232" t="s">
        <v>3161</v>
      </c>
      <c r="B1232" t="s">
        <v>920</v>
      </c>
      <c r="C1232" t="s">
        <v>3162</v>
      </c>
      <c r="D1232" t="s">
        <v>40</v>
      </c>
      <c r="E1232" t="s">
        <v>41</v>
      </c>
      <c r="F1232" t="s">
        <v>42</v>
      </c>
      <c r="G1232">
        <v>1</v>
      </c>
      <c r="H1232">
        <v>19811.73</v>
      </c>
      <c r="I1232">
        <v>0.1</v>
      </c>
      <c r="J1232">
        <v>17830.56</v>
      </c>
      <c r="K1232">
        <v>4196.89</v>
      </c>
      <c r="L1232">
        <v>1</v>
      </c>
      <c r="M1232" s="53">
        <v>45345</v>
      </c>
      <c r="N1232" t="s">
        <v>30</v>
      </c>
      <c r="O1232" t="s">
        <v>44</v>
      </c>
      <c r="P1232" s="54">
        <v>0.235376230471729</v>
      </c>
    </row>
    <row r="1233" spans="1:16">
      <c r="A1233" t="s">
        <v>3163</v>
      </c>
      <c r="B1233" t="s">
        <v>707</v>
      </c>
      <c r="C1233" t="s">
        <v>3164</v>
      </c>
      <c r="D1233" t="s">
        <v>27</v>
      </c>
      <c r="E1233" t="s">
        <v>233</v>
      </c>
      <c r="F1233" t="s">
        <v>234</v>
      </c>
      <c r="G1233">
        <v>3</v>
      </c>
      <c r="H1233">
        <v>6540.72</v>
      </c>
      <c r="I1233">
        <v>0.1</v>
      </c>
      <c r="J1233">
        <v>17659.94</v>
      </c>
      <c r="K1233">
        <v>2219.47</v>
      </c>
      <c r="L1233">
        <v>3.3</v>
      </c>
      <c r="M1233" s="53">
        <v>45392</v>
      </c>
      <c r="N1233" t="s">
        <v>22</v>
      </c>
      <c r="O1233" t="s">
        <v>73</v>
      </c>
      <c r="P1233" s="54">
        <v>0.125678229937361</v>
      </c>
    </row>
    <row r="1234" spans="1:16">
      <c r="A1234" t="s">
        <v>3165</v>
      </c>
      <c r="B1234" t="s">
        <v>942</v>
      </c>
      <c r="C1234" t="s">
        <v>112</v>
      </c>
      <c r="D1234" t="s">
        <v>19</v>
      </c>
      <c r="E1234" t="s">
        <v>35</v>
      </c>
      <c r="F1234" t="s">
        <v>36</v>
      </c>
      <c r="G1234">
        <v>4</v>
      </c>
      <c r="H1234">
        <v>13938.29</v>
      </c>
      <c r="I1234">
        <v>0.15</v>
      </c>
      <c r="J1234">
        <v>47390.19</v>
      </c>
      <c r="K1234">
        <v>11369.33</v>
      </c>
      <c r="L1234">
        <v>2.9</v>
      </c>
      <c r="M1234" s="53">
        <v>45176</v>
      </c>
      <c r="N1234" t="s">
        <v>30</v>
      </c>
      <c r="O1234" t="s">
        <v>23</v>
      </c>
      <c r="P1234" s="54">
        <v>0.239908934739447</v>
      </c>
    </row>
    <row r="1235" spans="1:16">
      <c r="A1235" t="s">
        <v>3166</v>
      </c>
      <c r="B1235" t="s">
        <v>1281</v>
      </c>
      <c r="C1235" t="s">
        <v>3167</v>
      </c>
      <c r="D1235" t="s">
        <v>19</v>
      </c>
      <c r="E1235" t="s">
        <v>35</v>
      </c>
      <c r="F1235" t="s">
        <v>36</v>
      </c>
      <c r="G1235">
        <v>1</v>
      </c>
      <c r="H1235">
        <v>4307.32</v>
      </c>
      <c r="I1235">
        <v>0.2</v>
      </c>
      <c r="J1235">
        <v>3445.86</v>
      </c>
      <c r="K1235">
        <v>524.79</v>
      </c>
      <c r="L1235">
        <v>1.7</v>
      </c>
      <c r="M1235" s="53">
        <v>45188</v>
      </c>
      <c r="N1235" t="s">
        <v>43</v>
      </c>
      <c r="O1235" t="s">
        <v>31</v>
      </c>
      <c r="P1235" s="54">
        <v>0.152295798436384</v>
      </c>
    </row>
    <row r="1236" spans="1:16">
      <c r="A1236" t="s">
        <v>3168</v>
      </c>
      <c r="B1236" t="s">
        <v>3169</v>
      </c>
      <c r="C1236" t="s">
        <v>3170</v>
      </c>
      <c r="D1236" t="s">
        <v>19</v>
      </c>
      <c r="E1236" t="s">
        <v>86</v>
      </c>
      <c r="F1236" t="s">
        <v>182</v>
      </c>
      <c r="G1236">
        <v>4</v>
      </c>
      <c r="H1236">
        <v>15302.25</v>
      </c>
      <c r="I1236">
        <v>0.15</v>
      </c>
      <c r="J1236">
        <v>52027.65</v>
      </c>
      <c r="K1236">
        <v>6979.14</v>
      </c>
      <c r="L1236">
        <v>3.5</v>
      </c>
      <c r="M1236" s="53">
        <v>45506</v>
      </c>
      <c r="N1236" t="s">
        <v>56</v>
      </c>
      <c r="O1236" t="s">
        <v>57</v>
      </c>
      <c r="P1236" s="54">
        <v>0.134142902860306</v>
      </c>
    </row>
    <row r="1237" spans="1:16">
      <c r="A1237" t="s">
        <v>3171</v>
      </c>
      <c r="B1237" t="s">
        <v>3172</v>
      </c>
      <c r="C1237" t="s">
        <v>3173</v>
      </c>
      <c r="D1237" t="s">
        <v>19</v>
      </c>
      <c r="E1237" t="s">
        <v>86</v>
      </c>
      <c r="F1237" t="s">
        <v>320</v>
      </c>
      <c r="G1237">
        <v>2</v>
      </c>
      <c r="H1237">
        <v>2526.94</v>
      </c>
      <c r="I1237">
        <v>0.05</v>
      </c>
      <c r="J1237">
        <v>4801.19</v>
      </c>
      <c r="K1237">
        <v>570.6</v>
      </c>
      <c r="L1237">
        <v>2</v>
      </c>
      <c r="M1237" s="53">
        <v>45487</v>
      </c>
      <c r="N1237" t="s">
        <v>22</v>
      </c>
      <c r="O1237" t="s">
        <v>57</v>
      </c>
      <c r="P1237" s="54">
        <v>0.118845536210814</v>
      </c>
    </row>
    <row r="1238" spans="1:16">
      <c r="A1238" t="s">
        <v>3174</v>
      </c>
      <c r="B1238" t="s">
        <v>3175</v>
      </c>
      <c r="C1238" t="s">
        <v>3176</v>
      </c>
      <c r="D1238" t="s">
        <v>27</v>
      </c>
      <c r="E1238" t="s">
        <v>28</v>
      </c>
      <c r="F1238" t="s">
        <v>105</v>
      </c>
      <c r="G1238">
        <v>4</v>
      </c>
      <c r="H1238">
        <v>9077.93</v>
      </c>
      <c r="I1238">
        <v>0.1</v>
      </c>
      <c r="J1238">
        <v>32680.55</v>
      </c>
      <c r="K1238">
        <v>6004.61</v>
      </c>
      <c r="L1238">
        <v>2.3</v>
      </c>
      <c r="M1238" s="53">
        <v>45539</v>
      </c>
      <c r="N1238" t="s">
        <v>30</v>
      </c>
      <c r="O1238" t="s">
        <v>57</v>
      </c>
      <c r="P1238" s="54">
        <v>0.18373650382261</v>
      </c>
    </row>
    <row r="1239" spans="1:16">
      <c r="A1239" t="s">
        <v>3177</v>
      </c>
      <c r="B1239" t="s">
        <v>3178</v>
      </c>
      <c r="C1239" t="s">
        <v>3179</v>
      </c>
      <c r="D1239" t="s">
        <v>27</v>
      </c>
      <c r="E1239" t="s">
        <v>48</v>
      </c>
      <c r="F1239" t="s">
        <v>49</v>
      </c>
      <c r="G1239">
        <v>5</v>
      </c>
      <c r="H1239">
        <v>9225.84</v>
      </c>
      <c r="I1239">
        <v>0.1</v>
      </c>
      <c r="J1239">
        <v>41516.28</v>
      </c>
      <c r="K1239">
        <v>3437.48</v>
      </c>
      <c r="L1239">
        <v>4.6</v>
      </c>
      <c r="M1239" s="53">
        <v>45078</v>
      </c>
      <c r="N1239" t="s">
        <v>22</v>
      </c>
      <c r="O1239" t="s">
        <v>31</v>
      </c>
      <c r="P1239" s="54">
        <v>0.0827983624737091</v>
      </c>
    </row>
    <row r="1240" spans="1:16">
      <c r="A1240" t="s">
        <v>3180</v>
      </c>
      <c r="B1240" t="s">
        <v>820</v>
      </c>
      <c r="C1240" t="s">
        <v>3181</v>
      </c>
      <c r="D1240" t="s">
        <v>27</v>
      </c>
      <c r="E1240" t="s">
        <v>48</v>
      </c>
      <c r="F1240" t="s">
        <v>77</v>
      </c>
      <c r="G1240">
        <v>3</v>
      </c>
      <c r="H1240">
        <v>15876.57</v>
      </c>
      <c r="I1240">
        <v>0.2</v>
      </c>
      <c r="J1240">
        <v>38103.77</v>
      </c>
      <c r="K1240">
        <v>8641.7</v>
      </c>
      <c r="L1240">
        <v>2.2</v>
      </c>
      <c r="M1240" s="53">
        <v>45047</v>
      </c>
      <c r="N1240" t="s">
        <v>30</v>
      </c>
      <c r="O1240" t="s">
        <v>57</v>
      </c>
      <c r="P1240" s="54">
        <v>0.226793831686471</v>
      </c>
    </row>
    <row r="1241" spans="1:16">
      <c r="A1241" t="s">
        <v>3182</v>
      </c>
      <c r="B1241" t="s">
        <v>690</v>
      </c>
      <c r="C1241" t="s">
        <v>3183</v>
      </c>
      <c r="D1241" t="s">
        <v>40</v>
      </c>
      <c r="E1241" t="s">
        <v>41</v>
      </c>
      <c r="F1241" t="s">
        <v>42</v>
      </c>
      <c r="G1241">
        <v>2</v>
      </c>
      <c r="H1241">
        <v>18315.5</v>
      </c>
      <c r="I1241">
        <v>0.2</v>
      </c>
      <c r="J1241">
        <v>29304.8</v>
      </c>
      <c r="K1241">
        <v>5323.9</v>
      </c>
      <c r="L1241">
        <v>4.3</v>
      </c>
      <c r="M1241" s="53">
        <v>45589</v>
      </c>
      <c r="N1241" t="s">
        <v>22</v>
      </c>
      <c r="O1241" t="s">
        <v>44</v>
      </c>
      <c r="P1241" s="54">
        <v>0.18167330949196</v>
      </c>
    </row>
    <row r="1242" spans="1:16">
      <c r="A1242" t="s">
        <v>3184</v>
      </c>
      <c r="B1242" t="s">
        <v>297</v>
      </c>
      <c r="C1242" t="s">
        <v>3185</v>
      </c>
      <c r="D1242" t="s">
        <v>40</v>
      </c>
      <c r="E1242" t="s">
        <v>174</v>
      </c>
      <c r="F1242" t="s">
        <v>175</v>
      </c>
      <c r="G1242">
        <v>2</v>
      </c>
      <c r="H1242">
        <v>1956.4</v>
      </c>
      <c r="I1242">
        <v>0.2</v>
      </c>
      <c r="J1242">
        <v>3130.24</v>
      </c>
      <c r="K1242">
        <v>527.35</v>
      </c>
      <c r="L1242">
        <v>4.3</v>
      </c>
      <c r="M1242" s="53">
        <v>45107</v>
      </c>
      <c r="N1242" t="s">
        <v>22</v>
      </c>
      <c r="O1242" t="s">
        <v>44</v>
      </c>
      <c r="P1242" s="54">
        <v>0.168469510325087</v>
      </c>
    </row>
    <row r="1243" spans="1:16">
      <c r="A1243" t="s">
        <v>3186</v>
      </c>
      <c r="B1243" t="s">
        <v>3187</v>
      </c>
      <c r="C1243" t="s">
        <v>3188</v>
      </c>
      <c r="D1243" t="s">
        <v>27</v>
      </c>
      <c r="E1243" t="s">
        <v>48</v>
      </c>
      <c r="F1243" t="s">
        <v>49</v>
      </c>
      <c r="G1243">
        <v>2</v>
      </c>
      <c r="H1243">
        <v>12690.43</v>
      </c>
      <c r="I1243">
        <v>0.1</v>
      </c>
      <c r="J1243">
        <v>22842.77</v>
      </c>
      <c r="K1243">
        <v>4679.56</v>
      </c>
      <c r="L1243">
        <v>1</v>
      </c>
      <c r="M1243" s="53">
        <v>45111</v>
      </c>
      <c r="N1243" t="s">
        <v>22</v>
      </c>
      <c r="O1243" t="s">
        <v>31</v>
      </c>
      <c r="P1243" s="54">
        <v>0.204859568257265</v>
      </c>
    </row>
    <row r="1244" spans="1:16">
      <c r="A1244" t="s">
        <v>3189</v>
      </c>
      <c r="B1244" t="s">
        <v>169</v>
      </c>
      <c r="C1244" t="s">
        <v>3190</v>
      </c>
      <c r="D1244" t="s">
        <v>19</v>
      </c>
      <c r="E1244" t="s">
        <v>86</v>
      </c>
      <c r="F1244" t="s">
        <v>87</v>
      </c>
      <c r="G1244">
        <v>4</v>
      </c>
      <c r="H1244">
        <v>1755.23</v>
      </c>
      <c r="I1244">
        <v>0</v>
      </c>
      <c r="J1244">
        <v>7020.92</v>
      </c>
      <c r="K1244">
        <v>725.29</v>
      </c>
      <c r="L1244">
        <v>1</v>
      </c>
      <c r="M1244" s="53">
        <v>45281</v>
      </c>
      <c r="N1244" t="s">
        <v>56</v>
      </c>
      <c r="O1244" t="s">
        <v>31</v>
      </c>
      <c r="P1244" s="54">
        <v>0.103304125385277</v>
      </c>
    </row>
    <row r="1245" spans="1:16">
      <c r="A1245" t="s">
        <v>3191</v>
      </c>
      <c r="B1245" t="s">
        <v>2446</v>
      </c>
      <c r="C1245" t="s">
        <v>3192</v>
      </c>
      <c r="D1245" t="s">
        <v>53</v>
      </c>
      <c r="E1245" t="s">
        <v>71</v>
      </c>
      <c r="F1245" t="s">
        <v>406</v>
      </c>
      <c r="G1245">
        <v>5</v>
      </c>
      <c r="H1245">
        <v>2182.16</v>
      </c>
      <c r="I1245">
        <v>0</v>
      </c>
      <c r="J1245">
        <v>10910.8</v>
      </c>
      <c r="K1245">
        <v>897.41</v>
      </c>
      <c r="L1245">
        <v>1.1</v>
      </c>
      <c r="M1245" s="53">
        <v>45129</v>
      </c>
      <c r="N1245" t="s">
        <v>22</v>
      </c>
      <c r="O1245" t="s">
        <v>31</v>
      </c>
      <c r="P1245" s="54">
        <v>0.0822496975473842</v>
      </c>
    </row>
    <row r="1246" spans="1:16">
      <c r="A1246" t="s">
        <v>3193</v>
      </c>
      <c r="B1246" t="s">
        <v>1341</v>
      </c>
      <c r="C1246" t="s">
        <v>3194</v>
      </c>
      <c r="D1246" t="s">
        <v>40</v>
      </c>
      <c r="E1246" t="s">
        <v>41</v>
      </c>
      <c r="F1246" t="s">
        <v>125</v>
      </c>
      <c r="G1246">
        <v>4</v>
      </c>
      <c r="H1246">
        <v>17592.43</v>
      </c>
      <c r="I1246">
        <v>0.05</v>
      </c>
      <c r="J1246">
        <v>66851.23</v>
      </c>
      <c r="K1246">
        <v>10361.25</v>
      </c>
      <c r="L1246">
        <v>1</v>
      </c>
      <c r="M1246" s="53">
        <v>45126</v>
      </c>
      <c r="N1246" t="s">
        <v>22</v>
      </c>
      <c r="O1246" t="s">
        <v>57</v>
      </c>
      <c r="P1246" s="54">
        <v>0.154989668851269</v>
      </c>
    </row>
    <row r="1247" spans="1:16">
      <c r="A1247" t="s">
        <v>3195</v>
      </c>
      <c r="B1247" t="s">
        <v>1999</v>
      </c>
      <c r="C1247" t="s">
        <v>3196</v>
      </c>
      <c r="D1247" t="s">
        <v>40</v>
      </c>
      <c r="E1247" t="s">
        <v>81</v>
      </c>
      <c r="F1247" t="s">
        <v>82</v>
      </c>
      <c r="G1247">
        <v>2</v>
      </c>
      <c r="H1247">
        <v>11284.42</v>
      </c>
      <c r="I1247">
        <v>0.1</v>
      </c>
      <c r="J1247">
        <v>20311.96</v>
      </c>
      <c r="K1247">
        <v>3312.68</v>
      </c>
      <c r="L1247">
        <v>4.8</v>
      </c>
      <c r="M1247" s="53">
        <v>45366</v>
      </c>
      <c r="N1247" t="s">
        <v>30</v>
      </c>
      <c r="O1247" t="s">
        <v>23</v>
      </c>
      <c r="P1247" s="54">
        <v>0.163090120303506</v>
      </c>
    </row>
    <row r="1248" spans="1:16">
      <c r="A1248" t="s">
        <v>3197</v>
      </c>
      <c r="B1248" t="s">
        <v>713</v>
      </c>
      <c r="C1248" t="s">
        <v>3198</v>
      </c>
      <c r="D1248" t="s">
        <v>27</v>
      </c>
      <c r="E1248" t="s">
        <v>28</v>
      </c>
      <c r="F1248" t="s">
        <v>29</v>
      </c>
      <c r="G1248">
        <v>4</v>
      </c>
      <c r="H1248">
        <v>19216.61</v>
      </c>
      <c r="I1248">
        <v>0.15</v>
      </c>
      <c r="J1248">
        <v>65336.47</v>
      </c>
      <c r="K1248">
        <v>10405.2</v>
      </c>
      <c r="L1248">
        <v>2.8</v>
      </c>
      <c r="M1248" s="53">
        <v>45033</v>
      </c>
      <c r="N1248" t="s">
        <v>56</v>
      </c>
      <c r="O1248" t="s">
        <v>57</v>
      </c>
      <c r="P1248" s="54">
        <v>0.159255619411333</v>
      </c>
    </row>
    <row r="1249" spans="1:16">
      <c r="A1249" t="s">
        <v>3199</v>
      </c>
      <c r="B1249" t="s">
        <v>1859</v>
      </c>
      <c r="C1249" t="s">
        <v>3200</v>
      </c>
      <c r="D1249" t="s">
        <v>40</v>
      </c>
      <c r="E1249" t="s">
        <v>174</v>
      </c>
      <c r="F1249" t="s">
        <v>202</v>
      </c>
      <c r="G1249">
        <v>5</v>
      </c>
      <c r="H1249">
        <v>13064.3</v>
      </c>
      <c r="I1249">
        <v>0.2</v>
      </c>
      <c r="J1249">
        <v>52257.2</v>
      </c>
      <c r="K1249">
        <v>12491.46</v>
      </c>
      <c r="L1249">
        <v>3.8</v>
      </c>
      <c r="M1249" s="53">
        <v>45036</v>
      </c>
      <c r="N1249" t="s">
        <v>43</v>
      </c>
      <c r="O1249" t="s">
        <v>31</v>
      </c>
      <c r="P1249" s="54">
        <v>0.239038065567998</v>
      </c>
    </row>
    <row r="1250" spans="1:16">
      <c r="A1250" t="s">
        <v>3201</v>
      </c>
      <c r="B1250" t="s">
        <v>1836</v>
      </c>
      <c r="C1250" t="s">
        <v>1432</v>
      </c>
      <c r="D1250" t="s">
        <v>53</v>
      </c>
      <c r="E1250" t="s">
        <v>95</v>
      </c>
      <c r="F1250" t="s">
        <v>524</v>
      </c>
      <c r="G1250">
        <v>3</v>
      </c>
      <c r="H1250">
        <v>19948.59</v>
      </c>
      <c r="I1250">
        <v>0.1</v>
      </c>
      <c r="J1250">
        <v>53861.19</v>
      </c>
      <c r="K1250">
        <v>5739.25</v>
      </c>
      <c r="L1250">
        <v>2.2</v>
      </c>
      <c r="M1250" s="53">
        <v>44937</v>
      </c>
      <c r="N1250" t="s">
        <v>56</v>
      </c>
      <c r="O1250" t="s">
        <v>23</v>
      </c>
      <c r="P1250" s="54">
        <v>0.10655631633835</v>
      </c>
    </row>
    <row r="1251" spans="1:16">
      <c r="A1251" t="s">
        <v>3202</v>
      </c>
      <c r="B1251" t="s">
        <v>2482</v>
      </c>
      <c r="C1251" t="s">
        <v>3203</v>
      </c>
      <c r="D1251" t="s">
        <v>53</v>
      </c>
      <c r="E1251" t="s">
        <v>95</v>
      </c>
      <c r="F1251" t="s">
        <v>96</v>
      </c>
      <c r="G1251">
        <v>2</v>
      </c>
      <c r="H1251">
        <v>5965.18</v>
      </c>
      <c r="I1251">
        <v>0.15</v>
      </c>
      <c r="J1251">
        <v>10140.81</v>
      </c>
      <c r="K1251">
        <v>2138.61</v>
      </c>
      <c r="L1251">
        <v>4.7</v>
      </c>
      <c r="M1251" s="53">
        <v>45183</v>
      </c>
      <c r="N1251" t="s">
        <v>30</v>
      </c>
      <c r="O1251" t="s">
        <v>31</v>
      </c>
      <c r="P1251" s="54">
        <v>0.210891437666222</v>
      </c>
    </row>
    <row r="1252" spans="1:16">
      <c r="A1252" t="s">
        <v>3204</v>
      </c>
      <c r="B1252" t="s">
        <v>169</v>
      </c>
      <c r="C1252" t="s">
        <v>3205</v>
      </c>
      <c r="D1252" t="s">
        <v>27</v>
      </c>
      <c r="E1252" t="s">
        <v>28</v>
      </c>
      <c r="F1252" t="s">
        <v>192</v>
      </c>
      <c r="G1252">
        <v>5</v>
      </c>
      <c r="H1252">
        <v>5743.66</v>
      </c>
      <c r="I1252">
        <v>0.15</v>
      </c>
      <c r="J1252">
        <v>24410.56</v>
      </c>
      <c r="K1252">
        <v>4100.02</v>
      </c>
      <c r="L1252">
        <v>1.7</v>
      </c>
      <c r="M1252" s="53">
        <v>45486</v>
      </c>
      <c r="N1252" t="s">
        <v>56</v>
      </c>
      <c r="O1252" t="s">
        <v>57</v>
      </c>
      <c r="P1252" s="54">
        <v>0.167960915276012</v>
      </c>
    </row>
    <row r="1253" spans="1:16">
      <c r="A1253" t="s">
        <v>3206</v>
      </c>
      <c r="B1253" t="s">
        <v>2586</v>
      </c>
      <c r="C1253" t="s">
        <v>3207</v>
      </c>
      <c r="D1253" t="s">
        <v>40</v>
      </c>
      <c r="E1253" t="s">
        <v>81</v>
      </c>
      <c r="F1253" t="s">
        <v>82</v>
      </c>
      <c r="G1253">
        <v>1</v>
      </c>
      <c r="H1253">
        <v>2537.97</v>
      </c>
      <c r="I1253">
        <v>0</v>
      </c>
      <c r="J1253">
        <v>2537.97</v>
      </c>
      <c r="K1253">
        <v>345.49</v>
      </c>
      <c r="L1253">
        <v>4.6</v>
      </c>
      <c r="M1253" s="53">
        <v>45651</v>
      </c>
      <c r="N1253" t="s">
        <v>56</v>
      </c>
      <c r="O1253" t="s">
        <v>31</v>
      </c>
      <c r="P1253" s="54">
        <v>0.136128480636099</v>
      </c>
    </row>
    <row r="1254" spans="1:16">
      <c r="A1254" t="s">
        <v>3208</v>
      </c>
      <c r="B1254" t="s">
        <v>2778</v>
      </c>
      <c r="C1254" t="s">
        <v>3209</v>
      </c>
      <c r="D1254" t="s">
        <v>53</v>
      </c>
      <c r="E1254" t="s">
        <v>95</v>
      </c>
      <c r="F1254" t="s">
        <v>96</v>
      </c>
      <c r="G1254">
        <v>3</v>
      </c>
      <c r="H1254">
        <v>5440.62</v>
      </c>
      <c r="I1254">
        <v>0</v>
      </c>
      <c r="J1254">
        <v>16321.86</v>
      </c>
      <c r="K1254">
        <v>1074.75</v>
      </c>
      <c r="L1254">
        <v>3.5</v>
      </c>
      <c r="M1254" s="53">
        <v>45635</v>
      </c>
      <c r="N1254" t="s">
        <v>56</v>
      </c>
      <c r="O1254" t="s">
        <v>73</v>
      </c>
      <c r="P1254" s="54">
        <v>0.0658472747591267</v>
      </c>
    </row>
    <row r="1255" spans="1:16">
      <c r="A1255" t="s">
        <v>3210</v>
      </c>
      <c r="B1255" t="s">
        <v>1608</v>
      </c>
      <c r="C1255" t="s">
        <v>466</v>
      </c>
      <c r="D1255" t="s">
        <v>53</v>
      </c>
      <c r="E1255" t="s">
        <v>71</v>
      </c>
      <c r="F1255" t="s">
        <v>225</v>
      </c>
      <c r="G1255">
        <v>4</v>
      </c>
      <c r="H1255">
        <v>13104.57</v>
      </c>
      <c r="I1255">
        <v>0.05</v>
      </c>
      <c r="J1255">
        <v>49797.37</v>
      </c>
      <c r="K1255">
        <v>7824.45</v>
      </c>
      <c r="L1255">
        <v>3.1</v>
      </c>
      <c r="M1255" s="53">
        <v>45582</v>
      </c>
      <c r="N1255" t="s">
        <v>30</v>
      </c>
      <c r="O1255" t="s">
        <v>44</v>
      </c>
      <c r="P1255" s="54">
        <v>0.157125767886939</v>
      </c>
    </row>
    <row r="1256" spans="1:16">
      <c r="A1256" t="s">
        <v>3211</v>
      </c>
      <c r="B1256" t="s">
        <v>2763</v>
      </c>
      <c r="C1256" t="s">
        <v>3212</v>
      </c>
      <c r="D1256" t="s">
        <v>40</v>
      </c>
      <c r="E1256" t="s">
        <v>41</v>
      </c>
      <c r="F1256" t="s">
        <v>125</v>
      </c>
      <c r="G1256">
        <v>4</v>
      </c>
      <c r="H1256">
        <v>4639.3</v>
      </c>
      <c r="I1256">
        <v>0</v>
      </c>
      <c r="J1256">
        <v>18557.2</v>
      </c>
      <c r="K1256">
        <v>3370.22</v>
      </c>
      <c r="L1256">
        <v>1.3</v>
      </c>
      <c r="M1256" s="53">
        <v>45177</v>
      </c>
      <c r="N1256" t="s">
        <v>30</v>
      </c>
      <c r="O1256" t="s">
        <v>23</v>
      </c>
      <c r="P1256" s="54">
        <v>0.181612527752032</v>
      </c>
    </row>
    <row r="1257" spans="1:16">
      <c r="A1257" t="s">
        <v>3213</v>
      </c>
      <c r="B1257" t="s">
        <v>1341</v>
      </c>
      <c r="C1257" t="s">
        <v>3214</v>
      </c>
      <c r="D1257" t="s">
        <v>19</v>
      </c>
      <c r="E1257" t="s">
        <v>86</v>
      </c>
      <c r="F1257" t="s">
        <v>320</v>
      </c>
      <c r="G1257">
        <v>3</v>
      </c>
      <c r="H1257">
        <v>9361.7</v>
      </c>
      <c r="I1257">
        <v>0.05</v>
      </c>
      <c r="J1257">
        <v>26680.85</v>
      </c>
      <c r="K1257">
        <v>5862.06</v>
      </c>
      <c r="L1257">
        <v>1.9</v>
      </c>
      <c r="M1257" s="53">
        <v>45581</v>
      </c>
      <c r="N1257" t="s">
        <v>30</v>
      </c>
      <c r="O1257" t="s">
        <v>73</v>
      </c>
      <c r="P1257" s="54">
        <v>0.219710391535502</v>
      </c>
    </row>
    <row r="1258" spans="1:16">
      <c r="A1258" t="s">
        <v>3215</v>
      </c>
      <c r="B1258" t="s">
        <v>1446</v>
      </c>
      <c r="C1258" t="s">
        <v>3216</v>
      </c>
      <c r="D1258" t="s">
        <v>40</v>
      </c>
      <c r="E1258" t="s">
        <v>81</v>
      </c>
      <c r="F1258" t="s">
        <v>241</v>
      </c>
      <c r="G1258">
        <v>4</v>
      </c>
      <c r="H1258">
        <v>4495.32</v>
      </c>
      <c r="I1258">
        <v>0</v>
      </c>
      <c r="J1258">
        <v>17981.28</v>
      </c>
      <c r="K1258">
        <v>1154.31</v>
      </c>
      <c r="L1258">
        <v>4.2</v>
      </c>
      <c r="M1258" s="53">
        <v>45142</v>
      </c>
      <c r="N1258" t="s">
        <v>30</v>
      </c>
      <c r="O1258" t="s">
        <v>31</v>
      </c>
      <c r="P1258" s="54">
        <v>0.0641950962334161</v>
      </c>
    </row>
    <row r="1259" spans="1:16">
      <c r="A1259" t="s">
        <v>3217</v>
      </c>
      <c r="B1259" t="s">
        <v>651</v>
      </c>
      <c r="C1259" t="s">
        <v>3218</v>
      </c>
      <c r="D1259" t="s">
        <v>27</v>
      </c>
      <c r="E1259" t="s">
        <v>28</v>
      </c>
      <c r="F1259" t="s">
        <v>105</v>
      </c>
      <c r="G1259">
        <v>1</v>
      </c>
      <c r="H1259">
        <v>2481.88</v>
      </c>
      <c r="I1259">
        <v>0.2</v>
      </c>
      <c r="J1259">
        <v>1985.5</v>
      </c>
      <c r="K1259">
        <v>308.18</v>
      </c>
      <c r="L1259">
        <v>1.9</v>
      </c>
      <c r="M1259" s="53">
        <v>45490</v>
      </c>
      <c r="N1259" t="s">
        <v>43</v>
      </c>
      <c r="O1259" t="s">
        <v>23</v>
      </c>
      <c r="P1259" s="54">
        <v>0.155215311004785</v>
      </c>
    </row>
    <row r="1260" spans="1:16">
      <c r="A1260" t="s">
        <v>3219</v>
      </c>
      <c r="B1260" t="s">
        <v>1140</v>
      </c>
      <c r="C1260" t="s">
        <v>3220</v>
      </c>
      <c r="D1260" t="s">
        <v>53</v>
      </c>
      <c r="E1260" t="s">
        <v>95</v>
      </c>
      <c r="F1260" t="s">
        <v>271</v>
      </c>
      <c r="G1260">
        <v>3</v>
      </c>
      <c r="H1260">
        <v>4958.25</v>
      </c>
      <c r="I1260">
        <v>0.2</v>
      </c>
      <c r="J1260">
        <v>11899.8</v>
      </c>
      <c r="K1260">
        <v>2933.8</v>
      </c>
      <c r="L1260">
        <v>2.9</v>
      </c>
      <c r="M1260" s="53">
        <v>45540</v>
      </c>
      <c r="N1260" t="s">
        <v>22</v>
      </c>
      <c r="O1260" t="s">
        <v>23</v>
      </c>
      <c r="P1260" s="54">
        <v>0.246541958688381</v>
      </c>
    </row>
    <row r="1261" spans="1:16">
      <c r="A1261" t="s">
        <v>3221</v>
      </c>
      <c r="B1261" t="s">
        <v>685</v>
      </c>
      <c r="C1261" t="s">
        <v>1731</v>
      </c>
      <c r="D1261" t="s">
        <v>27</v>
      </c>
      <c r="E1261" t="s">
        <v>117</v>
      </c>
      <c r="F1261" t="s">
        <v>505</v>
      </c>
      <c r="G1261">
        <v>5</v>
      </c>
      <c r="H1261">
        <v>7594.06</v>
      </c>
      <c r="I1261">
        <v>0.15</v>
      </c>
      <c r="J1261">
        <v>32274.76</v>
      </c>
      <c r="K1261">
        <v>3804.09</v>
      </c>
      <c r="L1261">
        <v>4.5</v>
      </c>
      <c r="M1261" s="53">
        <v>45315</v>
      </c>
      <c r="N1261" t="s">
        <v>22</v>
      </c>
      <c r="O1261" t="s">
        <v>57</v>
      </c>
      <c r="P1261" s="54">
        <v>0.117865787383082</v>
      </c>
    </row>
    <row r="1262" spans="1:16">
      <c r="A1262" t="s">
        <v>3222</v>
      </c>
      <c r="B1262" t="s">
        <v>3223</v>
      </c>
      <c r="C1262" t="s">
        <v>3224</v>
      </c>
      <c r="D1262" t="s">
        <v>53</v>
      </c>
      <c r="E1262" t="s">
        <v>95</v>
      </c>
      <c r="F1262" t="s">
        <v>524</v>
      </c>
      <c r="G1262">
        <v>4</v>
      </c>
      <c r="H1262">
        <v>4725.98</v>
      </c>
      <c r="I1262">
        <v>0.1</v>
      </c>
      <c r="J1262">
        <v>17013.53</v>
      </c>
      <c r="K1262">
        <v>1054.23</v>
      </c>
      <c r="L1262">
        <v>3</v>
      </c>
      <c r="M1262" s="53">
        <v>45399</v>
      </c>
      <c r="N1262" t="s">
        <v>22</v>
      </c>
      <c r="O1262" t="s">
        <v>44</v>
      </c>
      <c r="P1262" s="54">
        <v>0.0619642131879745</v>
      </c>
    </row>
    <row r="1263" spans="1:16">
      <c r="A1263" t="s">
        <v>3225</v>
      </c>
      <c r="B1263" t="s">
        <v>1770</v>
      </c>
      <c r="C1263" t="s">
        <v>3226</v>
      </c>
      <c r="D1263" t="s">
        <v>19</v>
      </c>
      <c r="E1263" t="s">
        <v>20</v>
      </c>
      <c r="F1263" t="s">
        <v>121</v>
      </c>
      <c r="G1263">
        <v>1</v>
      </c>
      <c r="H1263">
        <v>17520.59</v>
      </c>
      <c r="I1263">
        <v>0.05</v>
      </c>
      <c r="J1263">
        <v>16644.56</v>
      </c>
      <c r="K1263">
        <v>1268.22</v>
      </c>
      <c r="L1263">
        <v>1.5</v>
      </c>
      <c r="M1263" s="53">
        <v>45395</v>
      </c>
      <c r="N1263" t="s">
        <v>43</v>
      </c>
      <c r="O1263" t="s">
        <v>44</v>
      </c>
      <c r="P1263" s="54">
        <v>0.0761942640718649</v>
      </c>
    </row>
    <row r="1264" spans="1:16">
      <c r="A1264" t="s">
        <v>3227</v>
      </c>
      <c r="B1264" t="s">
        <v>1449</v>
      </c>
      <c r="C1264" t="s">
        <v>1242</v>
      </c>
      <c r="D1264" t="s">
        <v>27</v>
      </c>
      <c r="E1264" t="s">
        <v>48</v>
      </c>
      <c r="F1264" t="s">
        <v>77</v>
      </c>
      <c r="G1264">
        <v>2</v>
      </c>
      <c r="H1264">
        <v>9830.98</v>
      </c>
      <c r="I1264">
        <v>0.05</v>
      </c>
      <c r="J1264">
        <v>18678.86</v>
      </c>
      <c r="K1264">
        <v>2147.74</v>
      </c>
      <c r="L1264">
        <v>4.3</v>
      </c>
      <c r="M1264" s="53">
        <v>45298</v>
      </c>
      <c r="N1264" t="s">
        <v>56</v>
      </c>
      <c r="O1264" t="s">
        <v>73</v>
      </c>
      <c r="P1264" s="54">
        <v>0.114982391859032</v>
      </c>
    </row>
    <row r="1265" spans="1:16">
      <c r="A1265" t="s">
        <v>3228</v>
      </c>
      <c r="B1265" t="s">
        <v>1703</v>
      </c>
      <c r="C1265" t="s">
        <v>3229</v>
      </c>
      <c r="D1265" t="s">
        <v>40</v>
      </c>
      <c r="E1265" t="s">
        <v>174</v>
      </c>
      <c r="F1265" t="s">
        <v>202</v>
      </c>
      <c r="G1265">
        <v>3</v>
      </c>
      <c r="H1265">
        <v>7423.26</v>
      </c>
      <c r="I1265">
        <v>0.15</v>
      </c>
      <c r="J1265">
        <v>18929.31</v>
      </c>
      <c r="K1265">
        <v>3325.3</v>
      </c>
      <c r="L1265">
        <v>2.2</v>
      </c>
      <c r="M1265" s="53">
        <v>45487</v>
      </c>
      <c r="N1265" t="s">
        <v>22</v>
      </c>
      <c r="O1265" t="s">
        <v>23</v>
      </c>
      <c r="P1265" s="54">
        <v>0.17566937199507</v>
      </c>
    </row>
    <row r="1266" spans="1:16">
      <c r="A1266" t="s">
        <v>3230</v>
      </c>
      <c r="B1266" t="s">
        <v>663</v>
      </c>
      <c r="C1266" t="s">
        <v>2826</v>
      </c>
      <c r="D1266" t="s">
        <v>53</v>
      </c>
      <c r="E1266" t="s">
        <v>54</v>
      </c>
      <c r="F1266" t="s">
        <v>258</v>
      </c>
      <c r="G1266">
        <v>4</v>
      </c>
      <c r="H1266">
        <v>5818.38</v>
      </c>
      <c r="I1266">
        <v>0.15</v>
      </c>
      <c r="J1266">
        <v>19782.49</v>
      </c>
      <c r="K1266">
        <v>2030.91</v>
      </c>
      <c r="L1266">
        <v>4.9</v>
      </c>
      <c r="M1266" s="53">
        <v>45393</v>
      </c>
      <c r="N1266" t="s">
        <v>30</v>
      </c>
      <c r="O1266" t="s">
        <v>31</v>
      </c>
      <c r="P1266" s="54">
        <v>0.102662000587388</v>
      </c>
    </row>
    <row r="1267" spans="1:16">
      <c r="A1267" t="s">
        <v>3231</v>
      </c>
      <c r="B1267" t="s">
        <v>1718</v>
      </c>
      <c r="C1267" t="s">
        <v>3232</v>
      </c>
      <c r="D1267" t="s">
        <v>40</v>
      </c>
      <c r="E1267" t="s">
        <v>41</v>
      </c>
      <c r="F1267" t="s">
        <v>42</v>
      </c>
      <c r="G1267">
        <v>1</v>
      </c>
      <c r="H1267">
        <v>3877.57</v>
      </c>
      <c r="I1267">
        <v>0.2</v>
      </c>
      <c r="J1267">
        <v>3102.06</v>
      </c>
      <c r="K1267">
        <v>542.07</v>
      </c>
      <c r="L1267">
        <v>3.9</v>
      </c>
      <c r="M1267" s="53">
        <v>45022</v>
      </c>
      <c r="N1267" t="s">
        <v>22</v>
      </c>
      <c r="O1267" t="s">
        <v>31</v>
      </c>
      <c r="P1267" s="54">
        <v>0.174745169339084</v>
      </c>
    </row>
    <row r="1268" spans="1:16">
      <c r="A1268" t="s">
        <v>3233</v>
      </c>
      <c r="B1268" t="s">
        <v>1685</v>
      </c>
      <c r="C1268" t="s">
        <v>3234</v>
      </c>
      <c r="D1268" t="s">
        <v>40</v>
      </c>
      <c r="E1268" t="s">
        <v>262</v>
      </c>
      <c r="F1268" t="s">
        <v>345</v>
      </c>
      <c r="G1268">
        <v>2</v>
      </c>
      <c r="H1268">
        <v>10461.35</v>
      </c>
      <c r="I1268">
        <v>0.1</v>
      </c>
      <c r="J1268">
        <v>18830.43</v>
      </c>
      <c r="K1268">
        <v>1217.56</v>
      </c>
      <c r="L1268">
        <v>1.1</v>
      </c>
      <c r="M1268" s="53">
        <v>45395</v>
      </c>
      <c r="N1268" t="s">
        <v>43</v>
      </c>
      <c r="O1268" t="s">
        <v>73</v>
      </c>
      <c r="P1268" s="54">
        <v>0.0646591713519022</v>
      </c>
    </row>
    <row r="1269" spans="1:16">
      <c r="A1269" t="s">
        <v>3235</v>
      </c>
      <c r="B1269" t="s">
        <v>1082</v>
      </c>
      <c r="C1269" t="s">
        <v>3236</v>
      </c>
      <c r="D1269" t="s">
        <v>40</v>
      </c>
      <c r="E1269" t="s">
        <v>41</v>
      </c>
      <c r="F1269" t="s">
        <v>42</v>
      </c>
      <c r="G1269">
        <v>1</v>
      </c>
      <c r="H1269">
        <v>8720.35</v>
      </c>
      <c r="I1269">
        <v>0.1</v>
      </c>
      <c r="J1269">
        <v>7848.32</v>
      </c>
      <c r="K1269">
        <v>1609.25</v>
      </c>
      <c r="L1269">
        <v>2.3</v>
      </c>
      <c r="M1269" s="53">
        <v>45008</v>
      </c>
      <c r="N1269" t="s">
        <v>56</v>
      </c>
      <c r="O1269" t="s">
        <v>57</v>
      </c>
      <c r="P1269" s="54">
        <v>0.205043882002773</v>
      </c>
    </row>
    <row r="1270" spans="1:16">
      <c r="A1270" t="s">
        <v>3237</v>
      </c>
      <c r="B1270" t="s">
        <v>1182</v>
      </c>
      <c r="C1270" t="s">
        <v>3238</v>
      </c>
      <c r="D1270" t="s">
        <v>27</v>
      </c>
      <c r="E1270" t="s">
        <v>48</v>
      </c>
      <c r="F1270" t="s">
        <v>64</v>
      </c>
      <c r="G1270">
        <v>3</v>
      </c>
      <c r="H1270">
        <v>9304.91</v>
      </c>
      <c r="I1270">
        <v>0.15</v>
      </c>
      <c r="J1270">
        <v>23727.52</v>
      </c>
      <c r="K1270">
        <v>5311.2</v>
      </c>
      <c r="L1270">
        <v>2.2</v>
      </c>
      <c r="M1270" s="53">
        <v>45136</v>
      </c>
      <c r="N1270" t="s">
        <v>22</v>
      </c>
      <c r="O1270" t="s">
        <v>23</v>
      </c>
      <c r="P1270" s="54">
        <v>0.223841345408201</v>
      </c>
    </row>
    <row r="1271" spans="1:16">
      <c r="A1271" t="s">
        <v>3239</v>
      </c>
      <c r="B1271" t="s">
        <v>1762</v>
      </c>
      <c r="C1271" t="s">
        <v>3240</v>
      </c>
      <c r="D1271" t="s">
        <v>19</v>
      </c>
      <c r="E1271" t="s">
        <v>35</v>
      </c>
      <c r="F1271" t="s">
        <v>245</v>
      </c>
      <c r="G1271">
        <v>5</v>
      </c>
      <c r="H1271">
        <v>17291.76</v>
      </c>
      <c r="I1271">
        <v>0.1</v>
      </c>
      <c r="J1271">
        <v>77812.92</v>
      </c>
      <c r="K1271">
        <v>15299.58</v>
      </c>
      <c r="L1271">
        <v>4.6</v>
      </c>
      <c r="M1271" s="53">
        <v>44949</v>
      </c>
      <c r="N1271" t="s">
        <v>30</v>
      </c>
      <c r="O1271" t="s">
        <v>31</v>
      </c>
      <c r="P1271" s="54">
        <v>0.196620047159264</v>
      </c>
    </row>
    <row r="1272" spans="1:16">
      <c r="A1272" t="s">
        <v>3241</v>
      </c>
      <c r="B1272" t="s">
        <v>897</v>
      </c>
      <c r="C1272" t="s">
        <v>3242</v>
      </c>
      <c r="D1272" t="s">
        <v>27</v>
      </c>
      <c r="E1272" t="s">
        <v>28</v>
      </c>
      <c r="F1272" t="s">
        <v>105</v>
      </c>
      <c r="G1272">
        <v>4</v>
      </c>
      <c r="H1272">
        <v>12280.17</v>
      </c>
      <c r="I1272">
        <v>0</v>
      </c>
      <c r="J1272">
        <v>49120.68</v>
      </c>
      <c r="K1272">
        <v>9262.56</v>
      </c>
      <c r="L1272">
        <v>4.7</v>
      </c>
      <c r="M1272" s="53">
        <v>45322</v>
      </c>
      <c r="N1272" t="s">
        <v>30</v>
      </c>
      <c r="O1272" t="s">
        <v>31</v>
      </c>
      <c r="P1272" s="54">
        <v>0.188567422112235</v>
      </c>
    </row>
    <row r="1273" spans="1:16">
      <c r="A1273" t="s">
        <v>3243</v>
      </c>
      <c r="B1273" t="s">
        <v>555</v>
      </c>
      <c r="C1273" t="s">
        <v>3244</v>
      </c>
      <c r="D1273" t="s">
        <v>40</v>
      </c>
      <c r="E1273" t="s">
        <v>262</v>
      </c>
      <c r="F1273" t="s">
        <v>263</v>
      </c>
      <c r="G1273">
        <v>1</v>
      </c>
      <c r="H1273">
        <v>9542.62</v>
      </c>
      <c r="I1273">
        <v>0.15</v>
      </c>
      <c r="J1273">
        <v>8111.23</v>
      </c>
      <c r="K1273">
        <v>944.34</v>
      </c>
      <c r="L1273">
        <v>4.8</v>
      </c>
      <c r="M1273" s="53">
        <v>45250</v>
      </c>
      <c r="N1273" t="s">
        <v>22</v>
      </c>
      <c r="O1273" t="s">
        <v>57</v>
      </c>
      <c r="P1273" s="54">
        <v>0.116423772966615</v>
      </c>
    </row>
    <row r="1274" spans="1:16">
      <c r="A1274" t="s">
        <v>3245</v>
      </c>
      <c r="B1274" t="s">
        <v>1504</v>
      </c>
      <c r="C1274" t="s">
        <v>1361</v>
      </c>
      <c r="D1274" t="s">
        <v>53</v>
      </c>
      <c r="E1274" t="s">
        <v>95</v>
      </c>
      <c r="F1274" t="s">
        <v>306</v>
      </c>
      <c r="G1274">
        <v>1</v>
      </c>
      <c r="H1274">
        <v>9687.83</v>
      </c>
      <c r="I1274">
        <v>0</v>
      </c>
      <c r="J1274">
        <v>9687.83</v>
      </c>
      <c r="K1274">
        <v>1938.66</v>
      </c>
      <c r="L1274">
        <v>2.2</v>
      </c>
      <c r="M1274" s="53">
        <v>45392</v>
      </c>
      <c r="N1274" t="s">
        <v>56</v>
      </c>
      <c r="O1274" t="s">
        <v>23</v>
      </c>
      <c r="P1274" s="54">
        <v>0.200112925185516</v>
      </c>
    </row>
    <row r="1275" spans="1:16">
      <c r="A1275" t="s">
        <v>3246</v>
      </c>
      <c r="B1275" t="s">
        <v>2059</v>
      </c>
      <c r="C1275" t="s">
        <v>3247</v>
      </c>
      <c r="D1275" t="s">
        <v>40</v>
      </c>
      <c r="E1275" t="s">
        <v>174</v>
      </c>
      <c r="F1275" t="s">
        <v>202</v>
      </c>
      <c r="G1275">
        <v>1</v>
      </c>
      <c r="H1275">
        <v>19245.5</v>
      </c>
      <c r="I1275">
        <v>0.1</v>
      </c>
      <c r="J1275">
        <v>17320.95</v>
      </c>
      <c r="K1275">
        <v>3205.61</v>
      </c>
      <c r="L1275">
        <v>2.4</v>
      </c>
      <c r="M1275" s="53">
        <v>45282</v>
      </c>
      <c r="N1275" t="s">
        <v>56</v>
      </c>
      <c r="O1275" t="s">
        <v>23</v>
      </c>
      <c r="P1275" s="54">
        <v>0.185071257638871</v>
      </c>
    </row>
    <row r="1276" spans="1:16">
      <c r="A1276" t="s">
        <v>3248</v>
      </c>
      <c r="B1276" t="s">
        <v>1405</v>
      </c>
      <c r="C1276" t="s">
        <v>3249</v>
      </c>
      <c r="D1276" t="s">
        <v>19</v>
      </c>
      <c r="E1276" t="s">
        <v>129</v>
      </c>
      <c r="F1276" t="s">
        <v>302</v>
      </c>
      <c r="G1276">
        <v>5</v>
      </c>
      <c r="H1276">
        <v>11322.36</v>
      </c>
      <c r="I1276">
        <v>0.15</v>
      </c>
      <c r="J1276">
        <v>48120.03</v>
      </c>
      <c r="K1276">
        <v>9233.54</v>
      </c>
      <c r="L1276">
        <v>1.1</v>
      </c>
      <c r="M1276" s="53">
        <v>44994</v>
      </c>
      <c r="N1276" t="s">
        <v>56</v>
      </c>
      <c r="O1276" t="s">
        <v>23</v>
      </c>
      <c r="P1276" s="54">
        <v>0.191885582781224</v>
      </c>
    </row>
    <row r="1277" spans="1:16">
      <c r="A1277" t="s">
        <v>3250</v>
      </c>
      <c r="B1277" t="s">
        <v>749</v>
      </c>
      <c r="C1277" t="s">
        <v>3218</v>
      </c>
      <c r="D1277" t="s">
        <v>27</v>
      </c>
      <c r="E1277" t="s">
        <v>117</v>
      </c>
      <c r="F1277" t="s">
        <v>192</v>
      </c>
      <c r="G1277">
        <v>5</v>
      </c>
      <c r="H1277">
        <v>3836.98</v>
      </c>
      <c r="I1277">
        <v>0.15</v>
      </c>
      <c r="J1277">
        <v>16307.17</v>
      </c>
      <c r="K1277">
        <v>2096.74</v>
      </c>
      <c r="L1277">
        <v>3.6</v>
      </c>
      <c r="M1277" s="53">
        <v>45395</v>
      </c>
      <c r="N1277" t="s">
        <v>43</v>
      </c>
      <c r="O1277" t="s">
        <v>57</v>
      </c>
      <c r="P1277" s="54">
        <v>0.128577797373793</v>
      </c>
    </row>
    <row r="1278" spans="1:16">
      <c r="A1278" t="s">
        <v>3251</v>
      </c>
      <c r="B1278" t="s">
        <v>1718</v>
      </c>
      <c r="C1278" t="s">
        <v>3252</v>
      </c>
      <c r="D1278" t="s">
        <v>27</v>
      </c>
      <c r="E1278" t="s">
        <v>28</v>
      </c>
      <c r="F1278" t="s">
        <v>225</v>
      </c>
      <c r="G1278">
        <v>5</v>
      </c>
      <c r="H1278">
        <v>16494.1</v>
      </c>
      <c r="I1278">
        <v>0.15</v>
      </c>
      <c r="J1278">
        <v>70099.93</v>
      </c>
      <c r="K1278">
        <v>8397.63</v>
      </c>
      <c r="L1278">
        <v>4</v>
      </c>
      <c r="M1278" s="53">
        <v>45425</v>
      </c>
      <c r="N1278" t="s">
        <v>22</v>
      </c>
      <c r="O1278" t="s">
        <v>73</v>
      </c>
      <c r="P1278" s="54">
        <v>0.119795126756903</v>
      </c>
    </row>
    <row r="1279" spans="1:16">
      <c r="A1279" t="s">
        <v>3253</v>
      </c>
      <c r="B1279" t="s">
        <v>1548</v>
      </c>
      <c r="C1279" t="s">
        <v>3254</v>
      </c>
      <c r="D1279" t="s">
        <v>19</v>
      </c>
      <c r="E1279" t="s">
        <v>86</v>
      </c>
      <c r="F1279" t="s">
        <v>320</v>
      </c>
      <c r="G1279">
        <v>3</v>
      </c>
      <c r="H1279">
        <v>8778.23</v>
      </c>
      <c r="I1279">
        <v>0</v>
      </c>
      <c r="J1279">
        <v>26334.69</v>
      </c>
      <c r="K1279">
        <v>6349.58</v>
      </c>
      <c r="L1279">
        <v>1.6</v>
      </c>
      <c r="M1279" s="53">
        <v>45305</v>
      </c>
      <c r="N1279" t="s">
        <v>30</v>
      </c>
      <c r="O1279" t="s">
        <v>73</v>
      </c>
      <c r="P1279" s="54">
        <v>0.241110869351414</v>
      </c>
    </row>
    <row r="1280" spans="1:16">
      <c r="A1280" t="s">
        <v>3255</v>
      </c>
      <c r="B1280" t="s">
        <v>3256</v>
      </c>
      <c r="C1280" t="s">
        <v>3257</v>
      </c>
      <c r="D1280" t="s">
        <v>53</v>
      </c>
      <c r="E1280" t="s">
        <v>54</v>
      </c>
      <c r="F1280" t="s">
        <v>258</v>
      </c>
      <c r="G1280">
        <v>3</v>
      </c>
      <c r="H1280">
        <v>12581.44</v>
      </c>
      <c r="I1280">
        <v>0.15</v>
      </c>
      <c r="J1280">
        <v>32082.67</v>
      </c>
      <c r="K1280">
        <v>5163.66</v>
      </c>
      <c r="L1280">
        <v>2</v>
      </c>
      <c r="M1280" s="53">
        <v>45110</v>
      </c>
      <c r="N1280" t="s">
        <v>56</v>
      </c>
      <c r="O1280" t="s">
        <v>23</v>
      </c>
      <c r="P1280" s="54">
        <v>0.160948574417279</v>
      </c>
    </row>
    <row r="1281" spans="1:16">
      <c r="A1281" t="s">
        <v>3258</v>
      </c>
      <c r="B1281" t="s">
        <v>2828</v>
      </c>
      <c r="C1281" t="s">
        <v>3259</v>
      </c>
      <c r="D1281" t="s">
        <v>19</v>
      </c>
      <c r="E1281" t="s">
        <v>129</v>
      </c>
      <c r="F1281" t="s">
        <v>320</v>
      </c>
      <c r="G1281">
        <v>5</v>
      </c>
      <c r="H1281">
        <v>16975.7</v>
      </c>
      <c r="I1281">
        <v>0.1</v>
      </c>
      <c r="J1281">
        <v>76390.65</v>
      </c>
      <c r="K1281">
        <v>16226.97</v>
      </c>
      <c r="L1281">
        <v>3.5</v>
      </c>
      <c r="M1281" s="53">
        <v>45454</v>
      </c>
      <c r="N1281" t="s">
        <v>30</v>
      </c>
      <c r="O1281" t="s">
        <v>31</v>
      </c>
      <c r="P1281" s="54">
        <v>0.212420891823803</v>
      </c>
    </row>
    <row r="1282" spans="1:16">
      <c r="A1282" t="s">
        <v>3260</v>
      </c>
      <c r="B1282" t="s">
        <v>3261</v>
      </c>
      <c r="C1282" t="s">
        <v>3262</v>
      </c>
      <c r="D1282" t="s">
        <v>40</v>
      </c>
      <c r="E1282" t="s">
        <v>81</v>
      </c>
      <c r="F1282" t="s">
        <v>358</v>
      </c>
      <c r="G1282">
        <v>4</v>
      </c>
      <c r="H1282">
        <v>17242.34</v>
      </c>
      <c r="I1282">
        <v>0</v>
      </c>
      <c r="J1282">
        <v>68969.36</v>
      </c>
      <c r="K1282">
        <v>5302.33</v>
      </c>
      <c r="L1282">
        <v>2.7</v>
      </c>
      <c r="M1282" s="53">
        <v>45044</v>
      </c>
      <c r="N1282" t="s">
        <v>56</v>
      </c>
      <c r="O1282" t="s">
        <v>31</v>
      </c>
      <c r="P1282" s="54">
        <v>0.076879501274189</v>
      </c>
    </row>
    <row r="1283" spans="1:16">
      <c r="A1283" t="s">
        <v>3263</v>
      </c>
      <c r="B1283" t="s">
        <v>1765</v>
      </c>
      <c r="C1283" t="s">
        <v>3264</v>
      </c>
      <c r="D1283" t="s">
        <v>19</v>
      </c>
      <c r="E1283" t="s">
        <v>129</v>
      </c>
      <c r="F1283" t="s">
        <v>302</v>
      </c>
      <c r="G1283">
        <v>2</v>
      </c>
      <c r="H1283">
        <v>15827.08</v>
      </c>
      <c r="I1283">
        <v>0.15</v>
      </c>
      <c r="J1283">
        <v>26906.04</v>
      </c>
      <c r="K1283">
        <v>3482.63</v>
      </c>
      <c r="L1283">
        <v>4.5</v>
      </c>
      <c r="M1283" s="53">
        <v>45622</v>
      </c>
      <c r="N1283" t="s">
        <v>43</v>
      </c>
      <c r="O1283" t="s">
        <v>57</v>
      </c>
      <c r="P1283" s="54">
        <v>0.129436736138057</v>
      </c>
    </row>
    <row r="1284" spans="1:16">
      <c r="A1284" t="s">
        <v>3265</v>
      </c>
      <c r="B1284" t="s">
        <v>1628</v>
      </c>
      <c r="C1284" t="s">
        <v>3266</v>
      </c>
      <c r="D1284" t="s">
        <v>53</v>
      </c>
      <c r="E1284" t="s">
        <v>71</v>
      </c>
      <c r="F1284" t="s">
        <v>406</v>
      </c>
      <c r="G1284">
        <v>4</v>
      </c>
      <c r="H1284">
        <v>15545.93</v>
      </c>
      <c r="I1284">
        <v>0</v>
      </c>
      <c r="J1284">
        <v>62183.72</v>
      </c>
      <c r="K1284">
        <v>15051.94</v>
      </c>
      <c r="L1284">
        <v>4</v>
      </c>
      <c r="M1284" s="53">
        <v>44941</v>
      </c>
      <c r="N1284" t="s">
        <v>43</v>
      </c>
      <c r="O1284" t="s">
        <v>23</v>
      </c>
      <c r="P1284" s="54">
        <v>0.242055959341127</v>
      </c>
    </row>
    <row r="1285" spans="1:16">
      <c r="A1285" t="s">
        <v>3267</v>
      </c>
      <c r="B1285" t="s">
        <v>2972</v>
      </c>
      <c r="C1285" t="s">
        <v>3268</v>
      </c>
      <c r="D1285" t="s">
        <v>53</v>
      </c>
      <c r="E1285" t="s">
        <v>54</v>
      </c>
      <c r="F1285" t="s">
        <v>258</v>
      </c>
      <c r="G1285">
        <v>2</v>
      </c>
      <c r="H1285">
        <v>11381.86</v>
      </c>
      <c r="I1285">
        <v>0.15</v>
      </c>
      <c r="J1285">
        <v>19349.16</v>
      </c>
      <c r="K1285">
        <v>4608.49</v>
      </c>
      <c r="L1285">
        <v>4.4</v>
      </c>
      <c r="M1285" s="53">
        <v>45195</v>
      </c>
      <c r="N1285" t="s">
        <v>22</v>
      </c>
      <c r="O1285" t="s">
        <v>23</v>
      </c>
      <c r="P1285" s="54">
        <v>0.238175197269546</v>
      </c>
    </row>
    <row r="1286" spans="1:16">
      <c r="A1286" t="s">
        <v>3269</v>
      </c>
      <c r="B1286" t="s">
        <v>3270</v>
      </c>
      <c r="C1286" t="s">
        <v>3271</v>
      </c>
      <c r="D1286" t="s">
        <v>53</v>
      </c>
      <c r="E1286" t="s">
        <v>54</v>
      </c>
      <c r="F1286" t="s">
        <v>249</v>
      </c>
      <c r="G1286">
        <v>5</v>
      </c>
      <c r="H1286">
        <v>1149.87</v>
      </c>
      <c r="I1286">
        <v>0.15</v>
      </c>
      <c r="J1286">
        <v>4886.95</v>
      </c>
      <c r="K1286">
        <v>820.87</v>
      </c>
      <c r="L1286">
        <v>1.7</v>
      </c>
      <c r="M1286" s="53">
        <v>45555</v>
      </c>
      <c r="N1286" t="s">
        <v>56</v>
      </c>
      <c r="O1286" t="s">
        <v>57</v>
      </c>
      <c r="P1286" s="54">
        <v>0.167971843378795</v>
      </c>
    </row>
    <row r="1287" spans="1:16">
      <c r="A1287" t="s">
        <v>3272</v>
      </c>
      <c r="B1287" t="s">
        <v>3273</v>
      </c>
      <c r="C1287" t="s">
        <v>3274</v>
      </c>
      <c r="D1287" t="s">
        <v>19</v>
      </c>
      <c r="E1287" t="s">
        <v>20</v>
      </c>
      <c r="F1287" t="s">
        <v>121</v>
      </c>
      <c r="G1287">
        <v>4</v>
      </c>
      <c r="H1287">
        <v>18417.33</v>
      </c>
      <c r="I1287">
        <v>0.2</v>
      </c>
      <c r="J1287">
        <v>58935.46</v>
      </c>
      <c r="K1287">
        <v>7242.92</v>
      </c>
      <c r="L1287">
        <v>4.8</v>
      </c>
      <c r="M1287" s="53">
        <v>44952</v>
      </c>
      <c r="N1287" t="s">
        <v>30</v>
      </c>
      <c r="O1287" t="s">
        <v>31</v>
      </c>
      <c r="P1287" s="54">
        <v>0.122895791430151</v>
      </c>
    </row>
    <row r="1288" spans="1:16">
      <c r="A1288" t="s">
        <v>3275</v>
      </c>
      <c r="B1288" t="s">
        <v>1454</v>
      </c>
      <c r="C1288" t="s">
        <v>3276</v>
      </c>
      <c r="D1288" t="s">
        <v>53</v>
      </c>
      <c r="E1288" t="s">
        <v>71</v>
      </c>
      <c r="F1288" t="s">
        <v>150</v>
      </c>
      <c r="G1288">
        <v>2</v>
      </c>
      <c r="H1288">
        <v>15890.31</v>
      </c>
      <c r="I1288">
        <v>0.05</v>
      </c>
      <c r="J1288">
        <v>30191.59</v>
      </c>
      <c r="K1288">
        <v>1999.01</v>
      </c>
      <c r="L1288">
        <v>2.5</v>
      </c>
      <c r="M1288" s="53">
        <v>45293</v>
      </c>
      <c r="N1288" t="s">
        <v>43</v>
      </c>
      <c r="O1288" t="s">
        <v>23</v>
      </c>
      <c r="P1288" s="54">
        <v>0.0662108222852788</v>
      </c>
    </row>
    <row r="1289" spans="1:16">
      <c r="A1289" t="s">
        <v>3277</v>
      </c>
      <c r="B1289" t="s">
        <v>1137</v>
      </c>
      <c r="C1289" t="s">
        <v>3278</v>
      </c>
      <c r="D1289" t="s">
        <v>27</v>
      </c>
      <c r="E1289" t="s">
        <v>48</v>
      </c>
      <c r="F1289" t="s">
        <v>49</v>
      </c>
      <c r="G1289">
        <v>1</v>
      </c>
      <c r="H1289">
        <v>10073.88</v>
      </c>
      <c r="I1289">
        <v>0.1</v>
      </c>
      <c r="J1289">
        <v>9066.49</v>
      </c>
      <c r="K1289">
        <v>2100.66</v>
      </c>
      <c r="L1289">
        <v>1.8</v>
      </c>
      <c r="M1289" s="53">
        <v>45611</v>
      </c>
      <c r="N1289" t="s">
        <v>30</v>
      </c>
      <c r="O1289" t="s">
        <v>73</v>
      </c>
      <c r="P1289" s="54">
        <v>0.23169495582083</v>
      </c>
    </row>
    <row r="1290" spans="1:16">
      <c r="A1290" t="s">
        <v>3279</v>
      </c>
      <c r="B1290" t="s">
        <v>897</v>
      </c>
      <c r="C1290" t="s">
        <v>3280</v>
      </c>
      <c r="D1290" t="s">
        <v>53</v>
      </c>
      <c r="E1290" t="s">
        <v>100</v>
      </c>
      <c r="F1290" t="s">
        <v>229</v>
      </c>
      <c r="G1290">
        <v>3</v>
      </c>
      <c r="H1290">
        <v>13987.55</v>
      </c>
      <c r="I1290">
        <v>0.05</v>
      </c>
      <c r="J1290">
        <v>39864.52</v>
      </c>
      <c r="K1290">
        <v>4994.2</v>
      </c>
      <c r="L1290">
        <v>2.4</v>
      </c>
      <c r="M1290" s="53">
        <v>45063</v>
      </c>
      <c r="N1290" t="s">
        <v>30</v>
      </c>
      <c r="O1290" t="s">
        <v>44</v>
      </c>
      <c r="P1290" s="54">
        <v>0.125279321060432</v>
      </c>
    </row>
    <row r="1291" spans="1:16">
      <c r="A1291" t="s">
        <v>3281</v>
      </c>
      <c r="B1291" t="s">
        <v>3084</v>
      </c>
      <c r="C1291" t="s">
        <v>3282</v>
      </c>
      <c r="D1291" t="s">
        <v>27</v>
      </c>
      <c r="E1291" t="s">
        <v>48</v>
      </c>
      <c r="F1291" t="s">
        <v>64</v>
      </c>
      <c r="G1291">
        <v>1</v>
      </c>
      <c r="H1291">
        <v>13905.95</v>
      </c>
      <c r="I1291">
        <v>0.05</v>
      </c>
      <c r="J1291">
        <v>13210.65</v>
      </c>
      <c r="K1291">
        <v>1198.4</v>
      </c>
      <c r="L1291">
        <v>3.4</v>
      </c>
      <c r="M1291" s="53">
        <v>45593</v>
      </c>
      <c r="N1291" t="s">
        <v>22</v>
      </c>
      <c r="O1291" t="s">
        <v>44</v>
      </c>
      <c r="P1291" s="54">
        <v>0.0907146885278166</v>
      </c>
    </row>
    <row r="1292" spans="1:16">
      <c r="A1292" t="s">
        <v>3283</v>
      </c>
      <c r="B1292" t="s">
        <v>3284</v>
      </c>
      <c r="C1292" t="s">
        <v>3285</v>
      </c>
      <c r="D1292" t="s">
        <v>53</v>
      </c>
      <c r="E1292" t="s">
        <v>95</v>
      </c>
      <c r="F1292" t="s">
        <v>306</v>
      </c>
      <c r="G1292">
        <v>3</v>
      </c>
      <c r="H1292">
        <v>7484.17</v>
      </c>
      <c r="I1292">
        <v>0.05</v>
      </c>
      <c r="J1292">
        <v>21329.88</v>
      </c>
      <c r="K1292">
        <v>1401.5</v>
      </c>
      <c r="L1292">
        <v>2.1</v>
      </c>
      <c r="M1292" s="53">
        <v>45334</v>
      </c>
      <c r="N1292" t="s">
        <v>56</v>
      </c>
      <c r="O1292" t="s">
        <v>23</v>
      </c>
      <c r="P1292" s="54">
        <v>0.0657059486504378</v>
      </c>
    </row>
    <row r="1293" spans="1:16">
      <c r="A1293" t="s">
        <v>3286</v>
      </c>
      <c r="B1293" t="s">
        <v>1263</v>
      </c>
      <c r="C1293" t="s">
        <v>1915</v>
      </c>
      <c r="D1293" t="s">
        <v>27</v>
      </c>
      <c r="E1293" t="s">
        <v>28</v>
      </c>
      <c r="F1293" t="s">
        <v>225</v>
      </c>
      <c r="G1293">
        <v>2</v>
      </c>
      <c r="H1293">
        <v>6133.95</v>
      </c>
      <c r="I1293">
        <v>0.05</v>
      </c>
      <c r="J1293">
        <v>11654.5</v>
      </c>
      <c r="K1293">
        <v>2654.36</v>
      </c>
      <c r="L1293">
        <v>1.5</v>
      </c>
      <c r="M1293" s="53">
        <v>45240</v>
      </c>
      <c r="N1293" t="s">
        <v>22</v>
      </c>
      <c r="O1293" t="s">
        <v>44</v>
      </c>
      <c r="P1293" s="54">
        <v>0.227754086404393</v>
      </c>
    </row>
    <row r="1294" spans="1:16">
      <c r="A1294" t="s">
        <v>3287</v>
      </c>
      <c r="B1294" t="s">
        <v>1185</v>
      </c>
      <c r="C1294" t="s">
        <v>3288</v>
      </c>
      <c r="D1294" t="s">
        <v>40</v>
      </c>
      <c r="E1294" t="s">
        <v>262</v>
      </c>
      <c r="F1294" t="s">
        <v>345</v>
      </c>
      <c r="G1294">
        <v>5</v>
      </c>
      <c r="H1294">
        <v>1269.36</v>
      </c>
      <c r="I1294">
        <v>0.1</v>
      </c>
      <c r="J1294">
        <v>5712.12</v>
      </c>
      <c r="K1294">
        <v>483.63</v>
      </c>
      <c r="L1294">
        <v>2.1</v>
      </c>
      <c r="M1294" s="53">
        <v>44956</v>
      </c>
      <c r="N1294" t="s">
        <v>43</v>
      </c>
      <c r="O1294" t="s">
        <v>57</v>
      </c>
      <c r="P1294" s="54">
        <v>0.0846673389214512</v>
      </c>
    </row>
    <row r="1295" spans="1:16">
      <c r="A1295" t="s">
        <v>3289</v>
      </c>
      <c r="B1295" t="s">
        <v>1566</v>
      </c>
      <c r="C1295" t="s">
        <v>3290</v>
      </c>
      <c r="D1295" t="s">
        <v>27</v>
      </c>
      <c r="E1295" t="s">
        <v>117</v>
      </c>
      <c r="F1295" t="s">
        <v>118</v>
      </c>
      <c r="G1295">
        <v>3</v>
      </c>
      <c r="H1295">
        <v>10713.31</v>
      </c>
      <c r="I1295">
        <v>0.15</v>
      </c>
      <c r="J1295">
        <v>27318.94</v>
      </c>
      <c r="K1295">
        <v>1962.85</v>
      </c>
      <c r="L1295">
        <v>3.8</v>
      </c>
      <c r="M1295" s="53">
        <v>45290</v>
      </c>
      <c r="N1295" t="s">
        <v>30</v>
      </c>
      <c r="O1295" t="s">
        <v>44</v>
      </c>
      <c r="P1295" s="54">
        <v>0.0718494202190861</v>
      </c>
    </row>
    <row r="1296" spans="1:16">
      <c r="A1296" t="s">
        <v>3291</v>
      </c>
      <c r="B1296" t="s">
        <v>2289</v>
      </c>
      <c r="C1296" t="s">
        <v>3292</v>
      </c>
      <c r="D1296" t="s">
        <v>27</v>
      </c>
      <c r="E1296" t="s">
        <v>117</v>
      </c>
      <c r="F1296" t="s">
        <v>118</v>
      </c>
      <c r="G1296">
        <v>5</v>
      </c>
      <c r="H1296">
        <v>6946.25</v>
      </c>
      <c r="I1296">
        <v>0</v>
      </c>
      <c r="J1296">
        <v>34731.25</v>
      </c>
      <c r="K1296">
        <v>3749.66</v>
      </c>
      <c r="L1296">
        <v>1.7</v>
      </c>
      <c r="M1296" s="53">
        <v>45612</v>
      </c>
      <c r="N1296" t="s">
        <v>30</v>
      </c>
      <c r="O1296" t="s">
        <v>23</v>
      </c>
      <c r="P1296" s="54">
        <v>0.107962137844161</v>
      </c>
    </row>
    <row r="1297" spans="1:16">
      <c r="A1297" t="s">
        <v>3293</v>
      </c>
      <c r="B1297" t="s">
        <v>3294</v>
      </c>
      <c r="C1297" t="s">
        <v>3295</v>
      </c>
      <c r="D1297" t="s">
        <v>19</v>
      </c>
      <c r="E1297" t="s">
        <v>129</v>
      </c>
      <c r="F1297" t="s">
        <v>167</v>
      </c>
      <c r="G1297">
        <v>2</v>
      </c>
      <c r="H1297">
        <v>18305.94</v>
      </c>
      <c r="I1297">
        <v>0.1</v>
      </c>
      <c r="J1297">
        <v>32950.69</v>
      </c>
      <c r="K1297">
        <v>3878.77</v>
      </c>
      <c r="L1297">
        <v>4.1</v>
      </c>
      <c r="M1297" s="53">
        <v>45414</v>
      </c>
      <c r="N1297" t="s">
        <v>30</v>
      </c>
      <c r="O1297" t="s">
        <v>44</v>
      </c>
      <c r="P1297" s="54">
        <v>0.117714378667032</v>
      </c>
    </row>
    <row r="1298" spans="1:16">
      <c r="A1298" t="s">
        <v>3296</v>
      </c>
      <c r="B1298" t="s">
        <v>724</v>
      </c>
      <c r="C1298" t="s">
        <v>3297</v>
      </c>
      <c r="D1298" t="s">
        <v>19</v>
      </c>
      <c r="E1298" t="s">
        <v>20</v>
      </c>
      <c r="F1298" t="s">
        <v>121</v>
      </c>
      <c r="G1298">
        <v>2</v>
      </c>
      <c r="H1298">
        <v>2886.3</v>
      </c>
      <c r="I1298">
        <v>0.05</v>
      </c>
      <c r="J1298">
        <v>5483.97</v>
      </c>
      <c r="K1298">
        <v>1325.11</v>
      </c>
      <c r="L1298">
        <v>3.6</v>
      </c>
      <c r="M1298" s="53">
        <v>45271</v>
      </c>
      <c r="N1298" t="s">
        <v>30</v>
      </c>
      <c r="O1298" t="s">
        <v>57</v>
      </c>
      <c r="P1298" s="54">
        <v>0.241633342268466</v>
      </c>
    </row>
    <row r="1299" spans="1:16">
      <c r="A1299" t="s">
        <v>3298</v>
      </c>
      <c r="B1299" t="s">
        <v>156</v>
      </c>
      <c r="C1299" t="s">
        <v>3299</v>
      </c>
      <c r="D1299" t="s">
        <v>27</v>
      </c>
      <c r="E1299" t="s">
        <v>48</v>
      </c>
      <c r="F1299" t="s">
        <v>77</v>
      </c>
      <c r="G1299">
        <v>1</v>
      </c>
      <c r="H1299">
        <v>16620.94</v>
      </c>
      <c r="I1299">
        <v>0.1</v>
      </c>
      <c r="J1299">
        <v>14958.85</v>
      </c>
      <c r="K1299">
        <v>1233.22</v>
      </c>
      <c r="L1299">
        <v>3.3</v>
      </c>
      <c r="M1299" s="53">
        <v>45379</v>
      </c>
      <c r="N1299" t="s">
        <v>56</v>
      </c>
      <c r="O1299" t="s">
        <v>57</v>
      </c>
      <c r="P1299" s="54">
        <v>0.0824408293418278</v>
      </c>
    </row>
    <row r="1300" spans="1:16">
      <c r="A1300" t="s">
        <v>3300</v>
      </c>
      <c r="B1300" t="s">
        <v>1454</v>
      </c>
      <c r="C1300" t="s">
        <v>3301</v>
      </c>
      <c r="D1300" t="s">
        <v>27</v>
      </c>
      <c r="E1300" t="s">
        <v>48</v>
      </c>
      <c r="F1300" t="s">
        <v>49</v>
      </c>
      <c r="G1300">
        <v>1</v>
      </c>
      <c r="H1300">
        <v>14537.01</v>
      </c>
      <c r="I1300">
        <v>0.15</v>
      </c>
      <c r="J1300">
        <v>12356.46</v>
      </c>
      <c r="K1300">
        <v>2771.11</v>
      </c>
      <c r="L1300">
        <v>3.4</v>
      </c>
      <c r="M1300" s="53">
        <v>45175</v>
      </c>
      <c r="N1300" t="s">
        <v>56</v>
      </c>
      <c r="O1300" t="s">
        <v>73</v>
      </c>
      <c r="P1300" s="54">
        <v>0.224264069158966</v>
      </c>
    </row>
    <row r="1301" spans="1:16">
      <c r="A1301" t="s">
        <v>3302</v>
      </c>
      <c r="B1301" t="s">
        <v>1263</v>
      </c>
      <c r="C1301" t="s">
        <v>3303</v>
      </c>
      <c r="D1301" t="s">
        <v>53</v>
      </c>
      <c r="E1301" t="s">
        <v>100</v>
      </c>
      <c r="F1301" t="s">
        <v>101</v>
      </c>
      <c r="G1301">
        <v>3</v>
      </c>
      <c r="H1301">
        <v>11841.09</v>
      </c>
      <c r="I1301">
        <v>0</v>
      </c>
      <c r="J1301">
        <v>35523.27</v>
      </c>
      <c r="K1301">
        <v>1842.53</v>
      </c>
      <c r="L1301">
        <v>1.3</v>
      </c>
      <c r="M1301" s="53">
        <v>45423</v>
      </c>
      <c r="N1301" t="s">
        <v>30</v>
      </c>
      <c r="O1301" t="s">
        <v>57</v>
      </c>
      <c r="P1301" s="54">
        <v>0.0518682542457381</v>
      </c>
    </row>
    <row r="1302" spans="1:16">
      <c r="A1302" t="s">
        <v>3304</v>
      </c>
      <c r="B1302" t="s">
        <v>156</v>
      </c>
      <c r="C1302" t="s">
        <v>3305</v>
      </c>
      <c r="D1302" t="s">
        <v>40</v>
      </c>
      <c r="E1302" t="s">
        <v>174</v>
      </c>
      <c r="F1302" t="s">
        <v>202</v>
      </c>
      <c r="G1302">
        <v>4</v>
      </c>
      <c r="H1302">
        <v>6623.73</v>
      </c>
      <c r="I1302">
        <v>0.15</v>
      </c>
      <c r="J1302">
        <v>22520.68</v>
      </c>
      <c r="K1302">
        <v>4562.37</v>
      </c>
      <c r="L1302">
        <v>1.9</v>
      </c>
      <c r="M1302" s="53">
        <v>45049</v>
      </c>
      <c r="N1302" t="s">
        <v>30</v>
      </c>
      <c r="O1302" t="s">
        <v>31</v>
      </c>
      <c r="P1302" s="54">
        <v>0.20258580113922</v>
      </c>
    </row>
    <row r="1303" spans="1:16">
      <c r="A1303" t="s">
        <v>3306</v>
      </c>
      <c r="B1303" t="s">
        <v>1009</v>
      </c>
      <c r="C1303" t="s">
        <v>2789</v>
      </c>
      <c r="D1303" t="s">
        <v>19</v>
      </c>
      <c r="E1303" t="s">
        <v>129</v>
      </c>
      <c r="F1303" t="s">
        <v>302</v>
      </c>
      <c r="G1303">
        <v>2</v>
      </c>
      <c r="H1303">
        <v>3500.17</v>
      </c>
      <c r="I1303">
        <v>0</v>
      </c>
      <c r="J1303">
        <v>7000.34</v>
      </c>
      <c r="K1303">
        <v>681.94</v>
      </c>
      <c r="L1303">
        <v>4.2</v>
      </c>
      <c r="M1303" s="53">
        <v>45248</v>
      </c>
      <c r="N1303" t="s">
        <v>43</v>
      </c>
      <c r="O1303" t="s">
        <v>44</v>
      </c>
      <c r="P1303" s="54">
        <v>0.0974152684012491</v>
      </c>
    </row>
    <row r="1304" spans="1:16">
      <c r="A1304" t="s">
        <v>3307</v>
      </c>
      <c r="B1304" t="s">
        <v>1228</v>
      </c>
      <c r="C1304" t="s">
        <v>3308</v>
      </c>
      <c r="D1304" t="s">
        <v>19</v>
      </c>
      <c r="E1304" t="s">
        <v>35</v>
      </c>
      <c r="F1304" t="s">
        <v>215</v>
      </c>
      <c r="G1304">
        <v>3</v>
      </c>
      <c r="H1304">
        <v>13589.39</v>
      </c>
      <c r="I1304">
        <v>0.1</v>
      </c>
      <c r="J1304">
        <v>36691.35</v>
      </c>
      <c r="K1304">
        <v>9030.95</v>
      </c>
      <c r="L1304">
        <v>2.1</v>
      </c>
      <c r="M1304" s="53">
        <v>45309</v>
      </c>
      <c r="N1304" t="s">
        <v>56</v>
      </c>
      <c r="O1304" t="s">
        <v>44</v>
      </c>
      <c r="P1304" s="54">
        <v>0.246132944140785</v>
      </c>
    </row>
    <row r="1305" spans="1:16">
      <c r="A1305" t="s">
        <v>3309</v>
      </c>
      <c r="B1305" t="s">
        <v>894</v>
      </c>
      <c r="C1305" t="s">
        <v>3310</v>
      </c>
      <c r="D1305" t="s">
        <v>19</v>
      </c>
      <c r="E1305" t="s">
        <v>129</v>
      </c>
      <c r="F1305" t="s">
        <v>167</v>
      </c>
      <c r="G1305">
        <v>2</v>
      </c>
      <c r="H1305">
        <v>16635.58</v>
      </c>
      <c r="I1305">
        <v>0.05</v>
      </c>
      <c r="J1305">
        <v>31607.6</v>
      </c>
      <c r="K1305">
        <v>4139.92</v>
      </c>
      <c r="L1305">
        <v>2.4</v>
      </c>
      <c r="M1305" s="53">
        <v>45030</v>
      </c>
      <c r="N1305" t="s">
        <v>43</v>
      </c>
      <c r="O1305" t="s">
        <v>31</v>
      </c>
      <c r="P1305" s="54">
        <v>0.130978625393893</v>
      </c>
    </row>
    <row r="1306" spans="1:16">
      <c r="A1306" t="s">
        <v>3311</v>
      </c>
      <c r="B1306" t="s">
        <v>2131</v>
      </c>
      <c r="C1306" t="s">
        <v>3312</v>
      </c>
      <c r="D1306" t="s">
        <v>53</v>
      </c>
      <c r="E1306" t="s">
        <v>100</v>
      </c>
      <c r="F1306" t="s">
        <v>101</v>
      </c>
      <c r="G1306">
        <v>2</v>
      </c>
      <c r="H1306">
        <v>12368.8</v>
      </c>
      <c r="I1306">
        <v>0.1</v>
      </c>
      <c r="J1306">
        <v>22263.84</v>
      </c>
      <c r="K1306">
        <v>3213.79</v>
      </c>
      <c r="L1306">
        <v>3.5</v>
      </c>
      <c r="M1306" s="53">
        <v>45248</v>
      </c>
      <c r="N1306" t="s">
        <v>22</v>
      </c>
      <c r="O1306" t="s">
        <v>31</v>
      </c>
      <c r="P1306" s="54">
        <v>0.14435021092498</v>
      </c>
    </row>
    <row r="1307" spans="1:16">
      <c r="A1307" t="s">
        <v>3313</v>
      </c>
      <c r="B1307" t="s">
        <v>2371</v>
      </c>
      <c r="C1307" t="s">
        <v>3314</v>
      </c>
      <c r="D1307" t="s">
        <v>53</v>
      </c>
      <c r="E1307" t="s">
        <v>95</v>
      </c>
      <c r="F1307" t="s">
        <v>524</v>
      </c>
      <c r="G1307">
        <v>2</v>
      </c>
      <c r="H1307">
        <v>19233.65</v>
      </c>
      <c r="I1307">
        <v>0</v>
      </c>
      <c r="J1307">
        <v>38467.3</v>
      </c>
      <c r="K1307">
        <v>5346.95</v>
      </c>
      <c r="L1307">
        <v>2.3</v>
      </c>
      <c r="M1307" s="53">
        <v>45098</v>
      </c>
      <c r="N1307" t="s">
        <v>30</v>
      </c>
      <c r="O1307" t="s">
        <v>23</v>
      </c>
      <c r="P1307" s="54">
        <v>0.138999877818303</v>
      </c>
    </row>
    <row r="1308" spans="1:16">
      <c r="A1308" t="s">
        <v>3315</v>
      </c>
      <c r="B1308" t="s">
        <v>2728</v>
      </c>
      <c r="C1308" t="s">
        <v>3316</v>
      </c>
      <c r="D1308" t="s">
        <v>53</v>
      </c>
      <c r="E1308" t="s">
        <v>54</v>
      </c>
      <c r="F1308" t="s">
        <v>55</v>
      </c>
      <c r="G1308">
        <v>1</v>
      </c>
      <c r="H1308">
        <v>6110.08</v>
      </c>
      <c r="I1308">
        <v>0</v>
      </c>
      <c r="J1308">
        <v>6110.08</v>
      </c>
      <c r="K1308">
        <v>1044.55</v>
      </c>
      <c r="L1308">
        <v>3.3</v>
      </c>
      <c r="M1308" s="53">
        <v>45106</v>
      </c>
      <c r="N1308" t="s">
        <v>43</v>
      </c>
      <c r="O1308" t="s">
        <v>73</v>
      </c>
      <c r="P1308" s="54">
        <v>0.170955208442443</v>
      </c>
    </row>
    <row r="1309" spans="1:16">
      <c r="A1309" t="s">
        <v>3317</v>
      </c>
      <c r="B1309" t="s">
        <v>231</v>
      </c>
      <c r="C1309" t="s">
        <v>3318</v>
      </c>
      <c r="D1309" t="s">
        <v>53</v>
      </c>
      <c r="E1309" t="s">
        <v>54</v>
      </c>
      <c r="F1309" t="s">
        <v>55</v>
      </c>
      <c r="G1309">
        <v>3</v>
      </c>
      <c r="H1309">
        <v>4052.37</v>
      </c>
      <c r="I1309">
        <v>0.15</v>
      </c>
      <c r="J1309">
        <v>10333.54</v>
      </c>
      <c r="K1309">
        <v>2561.96</v>
      </c>
      <c r="L1309">
        <v>1.1</v>
      </c>
      <c r="M1309" s="53">
        <v>45035</v>
      </c>
      <c r="N1309" t="s">
        <v>56</v>
      </c>
      <c r="O1309" t="s">
        <v>57</v>
      </c>
      <c r="P1309" s="54">
        <v>0.247926654370138</v>
      </c>
    </row>
    <row r="1310" spans="1:16">
      <c r="A1310" t="s">
        <v>3319</v>
      </c>
      <c r="B1310" t="s">
        <v>575</v>
      </c>
      <c r="C1310" t="s">
        <v>3320</v>
      </c>
      <c r="D1310" t="s">
        <v>27</v>
      </c>
      <c r="E1310" t="s">
        <v>48</v>
      </c>
      <c r="F1310" t="s">
        <v>49</v>
      </c>
      <c r="G1310">
        <v>3</v>
      </c>
      <c r="H1310">
        <v>7842.54</v>
      </c>
      <c r="I1310">
        <v>0</v>
      </c>
      <c r="J1310">
        <v>23527.62</v>
      </c>
      <c r="K1310">
        <v>2695.49</v>
      </c>
      <c r="L1310">
        <v>4.2</v>
      </c>
      <c r="M1310" s="53">
        <v>45066</v>
      </c>
      <c r="N1310" t="s">
        <v>22</v>
      </c>
      <c r="O1310" t="s">
        <v>73</v>
      </c>
      <c r="P1310" s="54">
        <v>0.114567049280803</v>
      </c>
    </row>
    <row r="1311" spans="1:16">
      <c r="A1311" t="s">
        <v>3321</v>
      </c>
      <c r="B1311" t="s">
        <v>2504</v>
      </c>
      <c r="C1311" t="s">
        <v>3322</v>
      </c>
      <c r="D1311" t="s">
        <v>53</v>
      </c>
      <c r="E1311" t="s">
        <v>54</v>
      </c>
      <c r="F1311" t="s">
        <v>55</v>
      </c>
      <c r="G1311">
        <v>4</v>
      </c>
      <c r="H1311">
        <v>10969.81</v>
      </c>
      <c r="I1311">
        <v>0</v>
      </c>
      <c r="J1311">
        <v>43879.24</v>
      </c>
      <c r="K1311">
        <v>8566.9</v>
      </c>
      <c r="L1311">
        <v>3.6</v>
      </c>
      <c r="M1311" s="53">
        <v>44999</v>
      </c>
      <c r="N1311" t="s">
        <v>43</v>
      </c>
      <c r="O1311" t="s">
        <v>31</v>
      </c>
      <c r="P1311" s="54">
        <v>0.195238112601768</v>
      </c>
    </row>
    <row r="1312" spans="1:16">
      <c r="A1312" t="s">
        <v>3323</v>
      </c>
      <c r="B1312" t="s">
        <v>2264</v>
      </c>
      <c r="C1312" t="s">
        <v>3324</v>
      </c>
      <c r="D1312" t="s">
        <v>19</v>
      </c>
      <c r="E1312" t="s">
        <v>129</v>
      </c>
      <c r="F1312" t="s">
        <v>320</v>
      </c>
      <c r="G1312">
        <v>1</v>
      </c>
      <c r="H1312">
        <v>7059.09</v>
      </c>
      <c r="I1312">
        <v>0.2</v>
      </c>
      <c r="J1312">
        <v>5647.27</v>
      </c>
      <c r="K1312">
        <v>512.19</v>
      </c>
      <c r="L1312">
        <v>4.2</v>
      </c>
      <c r="M1312" s="53">
        <v>45474</v>
      </c>
      <c r="N1312" t="s">
        <v>43</v>
      </c>
      <c r="O1312" t="s">
        <v>31</v>
      </c>
      <c r="P1312" s="54">
        <v>0.0906969208130654</v>
      </c>
    </row>
    <row r="1313" spans="1:16">
      <c r="A1313" t="s">
        <v>3325</v>
      </c>
      <c r="B1313" t="s">
        <v>1944</v>
      </c>
      <c r="C1313" t="s">
        <v>3326</v>
      </c>
      <c r="D1313" t="s">
        <v>53</v>
      </c>
      <c r="E1313" t="s">
        <v>71</v>
      </c>
      <c r="F1313" t="s">
        <v>72</v>
      </c>
      <c r="G1313">
        <v>2</v>
      </c>
      <c r="H1313">
        <v>16273.6</v>
      </c>
      <c r="I1313">
        <v>0.1</v>
      </c>
      <c r="J1313">
        <v>29292.48</v>
      </c>
      <c r="K1313">
        <v>6876.44</v>
      </c>
      <c r="L1313">
        <v>1.8</v>
      </c>
      <c r="M1313" s="53">
        <v>45232</v>
      </c>
      <c r="N1313" t="s">
        <v>30</v>
      </c>
      <c r="O1313" t="s">
        <v>23</v>
      </c>
      <c r="P1313" s="54">
        <v>0.234751035077945</v>
      </c>
    </row>
    <row r="1314" spans="1:16">
      <c r="A1314" t="s">
        <v>3327</v>
      </c>
      <c r="B1314" t="s">
        <v>227</v>
      </c>
      <c r="C1314" t="s">
        <v>2546</v>
      </c>
      <c r="D1314" t="s">
        <v>27</v>
      </c>
      <c r="E1314" t="s">
        <v>28</v>
      </c>
      <c r="F1314" t="s">
        <v>192</v>
      </c>
      <c r="G1314">
        <v>1</v>
      </c>
      <c r="H1314">
        <v>9318.3</v>
      </c>
      <c r="I1314">
        <v>0.1</v>
      </c>
      <c r="J1314">
        <v>8386.47</v>
      </c>
      <c r="K1314">
        <v>1271.73</v>
      </c>
      <c r="L1314">
        <v>2.6</v>
      </c>
      <c r="M1314" s="53">
        <v>44954</v>
      </c>
      <c r="N1314" t="s">
        <v>43</v>
      </c>
      <c r="O1314" t="s">
        <v>31</v>
      </c>
      <c r="P1314" s="54">
        <v>0.151640678378388</v>
      </c>
    </row>
    <row r="1315" spans="1:16">
      <c r="A1315" t="s">
        <v>3328</v>
      </c>
      <c r="B1315" t="s">
        <v>1244</v>
      </c>
      <c r="C1315" t="s">
        <v>3329</v>
      </c>
      <c r="D1315" t="s">
        <v>53</v>
      </c>
      <c r="E1315" t="s">
        <v>71</v>
      </c>
      <c r="F1315" t="s">
        <v>225</v>
      </c>
      <c r="G1315">
        <v>4</v>
      </c>
      <c r="H1315">
        <v>3301.18</v>
      </c>
      <c r="I1315">
        <v>0.1</v>
      </c>
      <c r="J1315">
        <v>11884.25</v>
      </c>
      <c r="K1315">
        <v>1892.86</v>
      </c>
      <c r="L1315">
        <v>3.9</v>
      </c>
      <c r="M1315" s="53">
        <v>45628</v>
      </c>
      <c r="N1315" t="s">
        <v>43</v>
      </c>
      <c r="O1315" t="s">
        <v>31</v>
      </c>
      <c r="P1315" s="54">
        <v>0.159274670256852</v>
      </c>
    </row>
    <row r="1316" spans="1:16">
      <c r="A1316" t="s">
        <v>3330</v>
      </c>
      <c r="B1316" t="s">
        <v>1898</v>
      </c>
      <c r="C1316" t="s">
        <v>3331</v>
      </c>
      <c r="D1316" t="s">
        <v>27</v>
      </c>
      <c r="E1316" t="s">
        <v>28</v>
      </c>
      <c r="F1316" t="s">
        <v>192</v>
      </c>
      <c r="G1316">
        <v>5</v>
      </c>
      <c r="H1316">
        <v>11413.34</v>
      </c>
      <c r="I1316">
        <v>0.05</v>
      </c>
      <c r="J1316">
        <v>54213.36</v>
      </c>
      <c r="K1316">
        <v>8089.75</v>
      </c>
      <c r="L1316">
        <v>4.3</v>
      </c>
      <c r="M1316" s="53">
        <v>45524</v>
      </c>
      <c r="N1316" t="s">
        <v>43</v>
      </c>
      <c r="O1316" t="s">
        <v>23</v>
      </c>
      <c r="P1316" s="54">
        <v>0.149220598022333</v>
      </c>
    </row>
    <row r="1317" spans="1:16">
      <c r="A1317" t="s">
        <v>3332</v>
      </c>
      <c r="B1317" t="s">
        <v>2592</v>
      </c>
      <c r="C1317" t="s">
        <v>1469</v>
      </c>
      <c r="D1317" t="s">
        <v>27</v>
      </c>
      <c r="E1317" t="s">
        <v>117</v>
      </c>
      <c r="F1317" t="s">
        <v>192</v>
      </c>
      <c r="G1317">
        <v>2</v>
      </c>
      <c r="H1317">
        <v>11506.25</v>
      </c>
      <c r="I1317">
        <v>0.05</v>
      </c>
      <c r="J1317">
        <v>21861.88</v>
      </c>
      <c r="K1317">
        <v>3790.65</v>
      </c>
      <c r="L1317">
        <v>2.6</v>
      </c>
      <c r="M1317" s="53">
        <v>45191</v>
      </c>
      <c r="N1317" t="s">
        <v>30</v>
      </c>
      <c r="O1317" t="s">
        <v>31</v>
      </c>
      <c r="P1317" s="54">
        <v>0.173390852021876</v>
      </c>
    </row>
    <row r="1318" spans="1:16">
      <c r="A1318" t="s">
        <v>3333</v>
      </c>
      <c r="B1318" t="s">
        <v>1185</v>
      </c>
      <c r="C1318" t="s">
        <v>3334</v>
      </c>
      <c r="D1318" t="s">
        <v>53</v>
      </c>
      <c r="E1318" t="s">
        <v>95</v>
      </c>
      <c r="F1318" t="s">
        <v>271</v>
      </c>
      <c r="G1318">
        <v>4</v>
      </c>
      <c r="H1318">
        <v>9756.66</v>
      </c>
      <c r="I1318">
        <v>0.05</v>
      </c>
      <c r="J1318">
        <v>37075.31</v>
      </c>
      <c r="K1318">
        <v>3692.16</v>
      </c>
      <c r="L1318">
        <v>2.6</v>
      </c>
      <c r="M1318" s="53">
        <v>45075</v>
      </c>
      <c r="N1318" t="s">
        <v>56</v>
      </c>
      <c r="O1318" t="s">
        <v>31</v>
      </c>
      <c r="P1318" s="54">
        <v>0.0995854114233974</v>
      </c>
    </row>
    <row r="1319" spans="1:16">
      <c r="A1319" t="s">
        <v>3335</v>
      </c>
      <c r="B1319" t="s">
        <v>663</v>
      </c>
      <c r="C1319" t="s">
        <v>2152</v>
      </c>
      <c r="D1319" t="s">
        <v>40</v>
      </c>
      <c r="E1319" t="s">
        <v>81</v>
      </c>
      <c r="F1319" t="s">
        <v>82</v>
      </c>
      <c r="G1319">
        <v>3</v>
      </c>
      <c r="H1319">
        <v>7557.43</v>
      </c>
      <c r="I1319">
        <v>0.2</v>
      </c>
      <c r="J1319">
        <v>18137.83</v>
      </c>
      <c r="K1319">
        <v>2955</v>
      </c>
      <c r="L1319">
        <v>2.2</v>
      </c>
      <c r="M1319" s="53">
        <v>45465</v>
      </c>
      <c r="N1319" t="s">
        <v>30</v>
      </c>
      <c r="O1319" t="s">
        <v>73</v>
      </c>
      <c r="P1319" s="54">
        <v>0.162919158466035</v>
      </c>
    </row>
    <row r="1320" spans="1:16">
      <c r="A1320" t="s">
        <v>3336</v>
      </c>
      <c r="B1320" t="s">
        <v>860</v>
      </c>
      <c r="C1320" t="s">
        <v>3337</v>
      </c>
      <c r="D1320" t="s">
        <v>27</v>
      </c>
      <c r="E1320" t="s">
        <v>28</v>
      </c>
      <c r="F1320" t="s">
        <v>29</v>
      </c>
      <c r="G1320">
        <v>3</v>
      </c>
      <c r="H1320">
        <v>14078.58</v>
      </c>
      <c r="I1320">
        <v>0</v>
      </c>
      <c r="J1320">
        <v>42235.74</v>
      </c>
      <c r="K1320">
        <v>5016.93</v>
      </c>
      <c r="L1320">
        <v>4.8</v>
      </c>
      <c r="M1320" s="53">
        <v>44964</v>
      </c>
      <c r="N1320" t="s">
        <v>30</v>
      </c>
      <c r="O1320" t="s">
        <v>57</v>
      </c>
      <c r="P1320" s="54">
        <v>0.118783996681483</v>
      </c>
    </row>
    <row r="1321" spans="1:16">
      <c r="A1321" t="s">
        <v>3338</v>
      </c>
      <c r="B1321" t="s">
        <v>1595</v>
      </c>
      <c r="C1321" t="s">
        <v>3339</v>
      </c>
      <c r="D1321" t="s">
        <v>27</v>
      </c>
      <c r="E1321" t="s">
        <v>48</v>
      </c>
      <c r="F1321" t="s">
        <v>49</v>
      </c>
      <c r="G1321">
        <v>1</v>
      </c>
      <c r="H1321">
        <v>7623.68</v>
      </c>
      <c r="I1321">
        <v>0.15</v>
      </c>
      <c r="J1321">
        <v>6480.13</v>
      </c>
      <c r="K1321">
        <v>752.1</v>
      </c>
      <c r="L1321">
        <v>4.2</v>
      </c>
      <c r="M1321" s="53">
        <v>45436</v>
      </c>
      <c r="N1321" t="s">
        <v>43</v>
      </c>
      <c r="O1321" t="s">
        <v>23</v>
      </c>
      <c r="P1321" s="54">
        <v>0.116062486400736</v>
      </c>
    </row>
    <row r="1322" spans="1:16">
      <c r="A1322" t="s">
        <v>3340</v>
      </c>
      <c r="B1322" t="s">
        <v>3137</v>
      </c>
      <c r="C1322" t="s">
        <v>3341</v>
      </c>
      <c r="D1322" t="s">
        <v>40</v>
      </c>
      <c r="E1322" t="s">
        <v>262</v>
      </c>
      <c r="F1322" t="s">
        <v>773</v>
      </c>
      <c r="G1322">
        <v>2</v>
      </c>
      <c r="H1322">
        <v>15648.79</v>
      </c>
      <c r="I1322">
        <v>0.15</v>
      </c>
      <c r="J1322">
        <v>26602.94</v>
      </c>
      <c r="K1322">
        <v>2491.07</v>
      </c>
      <c r="L1322">
        <v>3.9</v>
      </c>
      <c r="M1322" s="53">
        <v>45546</v>
      </c>
      <c r="N1322" t="s">
        <v>56</v>
      </c>
      <c r="O1322" t="s">
        <v>73</v>
      </c>
      <c r="P1322" s="54">
        <v>0.0936388985578286</v>
      </c>
    </row>
    <row r="1323" spans="1:16">
      <c r="A1323" t="s">
        <v>3342</v>
      </c>
      <c r="B1323" t="s">
        <v>2728</v>
      </c>
      <c r="C1323" t="s">
        <v>3343</v>
      </c>
      <c r="D1323" t="s">
        <v>19</v>
      </c>
      <c r="E1323" t="s">
        <v>86</v>
      </c>
      <c r="F1323" t="s">
        <v>113</v>
      </c>
      <c r="G1323">
        <v>4</v>
      </c>
      <c r="H1323">
        <v>15611.66</v>
      </c>
      <c r="I1323">
        <v>0</v>
      </c>
      <c r="J1323">
        <v>62446.64</v>
      </c>
      <c r="K1323">
        <v>5509.51</v>
      </c>
      <c r="L1323">
        <v>3.8</v>
      </c>
      <c r="M1323" s="53">
        <v>45265</v>
      </c>
      <c r="N1323" t="s">
        <v>22</v>
      </c>
      <c r="O1323" t="s">
        <v>44</v>
      </c>
      <c r="P1323" s="54">
        <v>0.088227485097677</v>
      </c>
    </row>
    <row r="1324" spans="1:16">
      <c r="A1324" t="s">
        <v>3344</v>
      </c>
      <c r="B1324" t="s">
        <v>3345</v>
      </c>
      <c r="C1324" t="s">
        <v>3346</v>
      </c>
      <c r="D1324" t="s">
        <v>27</v>
      </c>
      <c r="E1324" t="s">
        <v>28</v>
      </c>
      <c r="F1324" t="s">
        <v>105</v>
      </c>
      <c r="G1324">
        <v>5</v>
      </c>
      <c r="H1324">
        <v>19532.53</v>
      </c>
      <c r="I1324">
        <v>0.15</v>
      </c>
      <c r="J1324">
        <v>83013.25</v>
      </c>
      <c r="K1324">
        <v>16823.5</v>
      </c>
      <c r="L1324">
        <v>2.9</v>
      </c>
      <c r="M1324" s="53">
        <v>45061</v>
      </c>
      <c r="N1324" t="s">
        <v>43</v>
      </c>
      <c r="O1324" t="s">
        <v>23</v>
      </c>
      <c r="P1324" s="54">
        <v>0.202660418668104</v>
      </c>
    </row>
    <row r="1325" spans="1:16">
      <c r="A1325" t="s">
        <v>3347</v>
      </c>
      <c r="B1325" t="s">
        <v>3348</v>
      </c>
      <c r="C1325" t="s">
        <v>3349</v>
      </c>
      <c r="D1325" t="s">
        <v>27</v>
      </c>
      <c r="E1325" t="s">
        <v>48</v>
      </c>
      <c r="F1325" t="s">
        <v>64</v>
      </c>
      <c r="G1325">
        <v>1</v>
      </c>
      <c r="H1325">
        <v>12456.97</v>
      </c>
      <c r="I1325">
        <v>0.15</v>
      </c>
      <c r="J1325">
        <v>10588.42</v>
      </c>
      <c r="K1325">
        <v>1502.89</v>
      </c>
      <c r="L1325">
        <v>4.2</v>
      </c>
      <c r="M1325" s="53">
        <v>44947</v>
      </c>
      <c r="N1325" t="s">
        <v>30</v>
      </c>
      <c r="O1325" t="s">
        <v>57</v>
      </c>
      <c r="P1325" s="54">
        <v>0.141937135096643</v>
      </c>
    </row>
    <row r="1326" spans="1:16">
      <c r="A1326" t="s">
        <v>3350</v>
      </c>
      <c r="B1326" t="s">
        <v>2627</v>
      </c>
      <c r="C1326" t="s">
        <v>3351</v>
      </c>
      <c r="D1326" t="s">
        <v>40</v>
      </c>
      <c r="E1326" t="s">
        <v>41</v>
      </c>
      <c r="F1326" t="s">
        <v>154</v>
      </c>
      <c r="G1326">
        <v>1</v>
      </c>
      <c r="H1326">
        <v>1034.66</v>
      </c>
      <c r="I1326">
        <v>0.15</v>
      </c>
      <c r="J1326">
        <v>879.46</v>
      </c>
      <c r="K1326">
        <v>113.6</v>
      </c>
      <c r="L1326">
        <v>4.3</v>
      </c>
      <c r="M1326" s="53">
        <v>45544</v>
      </c>
      <c r="N1326" t="s">
        <v>56</v>
      </c>
      <c r="O1326" t="s">
        <v>57</v>
      </c>
      <c r="P1326" s="54">
        <v>0.129170172605917</v>
      </c>
    </row>
    <row r="1327" spans="1:16">
      <c r="A1327" t="s">
        <v>3352</v>
      </c>
      <c r="B1327" t="s">
        <v>3353</v>
      </c>
      <c r="C1327" t="s">
        <v>3354</v>
      </c>
      <c r="D1327" t="s">
        <v>40</v>
      </c>
      <c r="E1327" t="s">
        <v>262</v>
      </c>
      <c r="F1327" t="s">
        <v>773</v>
      </c>
      <c r="G1327">
        <v>1</v>
      </c>
      <c r="H1327">
        <v>19703.09</v>
      </c>
      <c r="I1327">
        <v>0.15</v>
      </c>
      <c r="J1327">
        <v>16747.63</v>
      </c>
      <c r="K1327">
        <v>1326.78</v>
      </c>
      <c r="L1327">
        <v>1.1</v>
      </c>
      <c r="M1327" s="53">
        <v>45636</v>
      </c>
      <c r="N1327" t="s">
        <v>43</v>
      </c>
      <c r="O1327" t="s">
        <v>23</v>
      </c>
      <c r="P1327" s="54">
        <v>0.0792219555841632</v>
      </c>
    </row>
    <row r="1328" spans="1:16">
      <c r="A1328" t="s">
        <v>3355</v>
      </c>
      <c r="B1328" t="s">
        <v>1335</v>
      </c>
      <c r="C1328" t="s">
        <v>3356</v>
      </c>
      <c r="D1328" t="s">
        <v>40</v>
      </c>
      <c r="E1328" t="s">
        <v>81</v>
      </c>
      <c r="F1328" t="s">
        <v>82</v>
      </c>
      <c r="G1328">
        <v>1</v>
      </c>
      <c r="H1328">
        <v>11385.13</v>
      </c>
      <c r="I1328">
        <v>0.05</v>
      </c>
      <c r="J1328">
        <v>10815.87</v>
      </c>
      <c r="K1328">
        <v>1042.18</v>
      </c>
      <c r="L1328">
        <v>2.6</v>
      </c>
      <c r="M1328" s="53">
        <v>45129</v>
      </c>
      <c r="N1328" t="s">
        <v>43</v>
      </c>
      <c r="O1328" t="s">
        <v>31</v>
      </c>
      <c r="P1328" s="54">
        <v>0.0963565575399852</v>
      </c>
    </row>
    <row r="1329" spans="1:16">
      <c r="A1329" t="s">
        <v>3357</v>
      </c>
      <c r="B1329" t="s">
        <v>3358</v>
      </c>
      <c r="C1329" t="s">
        <v>3359</v>
      </c>
      <c r="D1329" t="s">
        <v>40</v>
      </c>
      <c r="E1329" t="s">
        <v>262</v>
      </c>
      <c r="F1329" t="s">
        <v>385</v>
      </c>
      <c r="G1329">
        <v>4</v>
      </c>
      <c r="H1329">
        <v>17466.96</v>
      </c>
      <c r="I1329">
        <v>0.05</v>
      </c>
      <c r="J1329">
        <v>66374.45</v>
      </c>
      <c r="K1329">
        <v>6278.99</v>
      </c>
      <c r="L1329">
        <v>1.1</v>
      </c>
      <c r="M1329" s="53">
        <v>45412</v>
      </c>
      <c r="N1329" t="s">
        <v>56</v>
      </c>
      <c r="O1329" t="s">
        <v>73</v>
      </c>
      <c r="P1329" s="54">
        <v>0.0945995032727202</v>
      </c>
    </row>
    <row r="1330" spans="1:16">
      <c r="A1330" t="s">
        <v>3360</v>
      </c>
      <c r="B1330" t="s">
        <v>1228</v>
      </c>
      <c r="C1330" t="s">
        <v>3361</v>
      </c>
      <c r="D1330" t="s">
        <v>53</v>
      </c>
      <c r="E1330" t="s">
        <v>100</v>
      </c>
      <c r="F1330" t="s">
        <v>229</v>
      </c>
      <c r="G1330">
        <v>5</v>
      </c>
      <c r="H1330">
        <v>13920.65</v>
      </c>
      <c r="I1330">
        <v>0.2</v>
      </c>
      <c r="J1330">
        <v>55682.6</v>
      </c>
      <c r="K1330">
        <v>12426.47</v>
      </c>
      <c r="L1330">
        <v>2.7</v>
      </c>
      <c r="M1330" s="53">
        <v>45073</v>
      </c>
      <c r="N1330" t="s">
        <v>56</v>
      </c>
      <c r="O1330" t="s">
        <v>31</v>
      </c>
      <c r="P1330" s="54">
        <v>0.223166123708304</v>
      </c>
    </row>
    <row r="1331" spans="1:16">
      <c r="A1331" t="s">
        <v>3362</v>
      </c>
      <c r="B1331" t="s">
        <v>2501</v>
      </c>
      <c r="C1331" t="s">
        <v>3363</v>
      </c>
      <c r="D1331" t="s">
        <v>27</v>
      </c>
      <c r="E1331" t="s">
        <v>117</v>
      </c>
      <c r="F1331" t="s">
        <v>118</v>
      </c>
      <c r="G1331">
        <v>3</v>
      </c>
      <c r="H1331">
        <v>18357.8</v>
      </c>
      <c r="I1331">
        <v>0</v>
      </c>
      <c r="J1331">
        <v>55073.4</v>
      </c>
      <c r="K1331">
        <v>9735.6</v>
      </c>
      <c r="L1331">
        <v>3.5</v>
      </c>
      <c r="M1331" s="53">
        <v>45122</v>
      </c>
      <c r="N1331" t="s">
        <v>22</v>
      </c>
      <c r="O1331" t="s">
        <v>31</v>
      </c>
      <c r="P1331" s="54">
        <v>0.176774994825088</v>
      </c>
    </row>
    <row r="1332" spans="1:16">
      <c r="A1332" t="s">
        <v>3364</v>
      </c>
      <c r="B1332" t="s">
        <v>837</v>
      </c>
      <c r="C1332" t="s">
        <v>1798</v>
      </c>
      <c r="D1332" t="s">
        <v>40</v>
      </c>
      <c r="E1332" t="s">
        <v>174</v>
      </c>
      <c r="F1332" t="s">
        <v>202</v>
      </c>
      <c r="G1332">
        <v>2</v>
      </c>
      <c r="H1332">
        <v>17428.14</v>
      </c>
      <c r="I1332">
        <v>0.2</v>
      </c>
      <c r="J1332">
        <v>27885.02</v>
      </c>
      <c r="K1332">
        <v>2826.63</v>
      </c>
      <c r="L1332">
        <v>4.7</v>
      </c>
      <c r="M1332" s="53">
        <v>44957</v>
      </c>
      <c r="N1332" t="s">
        <v>56</v>
      </c>
      <c r="O1332" t="s">
        <v>31</v>
      </c>
      <c r="P1332" s="54">
        <v>0.1013673291251</v>
      </c>
    </row>
    <row r="1333" spans="1:16">
      <c r="A1333" t="s">
        <v>3365</v>
      </c>
      <c r="B1333" t="s">
        <v>718</v>
      </c>
      <c r="C1333" t="s">
        <v>3366</v>
      </c>
      <c r="D1333" t="s">
        <v>19</v>
      </c>
      <c r="E1333" t="s">
        <v>20</v>
      </c>
      <c r="F1333" t="s">
        <v>121</v>
      </c>
      <c r="G1333">
        <v>4</v>
      </c>
      <c r="H1333">
        <v>18690.35</v>
      </c>
      <c r="I1333">
        <v>0</v>
      </c>
      <c r="J1333">
        <v>74761.4</v>
      </c>
      <c r="K1333">
        <v>4960.47</v>
      </c>
      <c r="L1333">
        <v>3.3</v>
      </c>
      <c r="M1333" s="53">
        <v>45302</v>
      </c>
      <c r="N1333" t="s">
        <v>30</v>
      </c>
      <c r="O1333" t="s">
        <v>73</v>
      </c>
      <c r="P1333" s="54">
        <v>0.0663506836415584</v>
      </c>
    </row>
    <row r="1334" spans="1:16">
      <c r="A1334" t="s">
        <v>3367</v>
      </c>
      <c r="B1334" t="s">
        <v>543</v>
      </c>
      <c r="C1334" t="s">
        <v>3368</v>
      </c>
      <c r="D1334" t="s">
        <v>27</v>
      </c>
      <c r="E1334" t="s">
        <v>48</v>
      </c>
      <c r="F1334" t="s">
        <v>64</v>
      </c>
      <c r="G1334">
        <v>3</v>
      </c>
      <c r="H1334">
        <v>3023.56</v>
      </c>
      <c r="I1334">
        <v>0.05</v>
      </c>
      <c r="J1334">
        <v>8617.15</v>
      </c>
      <c r="K1334">
        <v>1770.62</v>
      </c>
      <c r="L1334">
        <v>1.3</v>
      </c>
      <c r="M1334" s="53">
        <v>45483</v>
      </c>
      <c r="N1334" t="s">
        <v>56</v>
      </c>
      <c r="O1334" t="s">
        <v>73</v>
      </c>
      <c r="P1334" s="54">
        <v>0.205476288564084</v>
      </c>
    </row>
    <row r="1335" spans="1:16">
      <c r="A1335" t="s">
        <v>3369</v>
      </c>
      <c r="B1335" t="s">
        <v>3370</v>
      </c>
      <c r="C1335" t="s">
        <v>3371</v>
      </c>
      <c r="D1335" t="s">
        <v>53</v>
      </c>
      <c r="E1335" t="s">
        <v>71</v>
      </c>
      <c r="F1335" t="s">
        <v>225</v>
      </c>
      <c r="G1335">
        <v>4</v>
      </c>
      <c r="H1335">
        <v>6205.19</v>
      </c>
      <c r="I1335">
        <v>0.05</v>
      </c>
      <c r="J1335">
        <v>23579.72</v>
      </c>
      <c r="K1335">
        <v>4623.38</v>
      </c>
      <c r="L1335">
        <v>2.4</v>
      </c>
      <c r="M1335" s="53">
        <v>45112</v>
      </c>
      <c r="N1335" t="s">
        <v>22</v>
      </c>
      <c r="O1335" t="s">
        <v>57</v>
      </c>
      <c r="P1335" s="54">
        <v>0.196074423275594</v>
      </c>
    </row>
    <row r="1336" spans="1:16">
      <c r="A1336" t="s">
        <v>3372</v>
      </c>
      <c r="B1336" t="s">
        <v>3373</v>
      </c>
      <c r="C1336" t="s">
        <v>3374</v>
      </c>
      <c r="D1336" t="s">
        <v>19</v>
      </c>
      <c r="E1336" t="s">
        <v>86</v>
      </c>
      <c r="F1336" t="s">
        <v>320</v>
      </c>
      <c r="G1336">
        <v>3</v>
      </c>
      <c r="H1336">
        <v>4272.52</v>
      </c>
      <c r="I1336">
        <v>0</v>
      </c>
      <c r="J1336">
        <v>12817.56</v>
      </c>
      <c r="K1336">
        <v>1464.97</v>
      </c>
      <c r="L1336">
        <v>2.6</v>
      </c>
      <c r="M1336" s="53">
        <v>45187</v>
      </c>
      <c r="N1336" t="s">
        <v>43</v>
      </c>
      <c r="O1336" t="s">
        <v>44</v>
      </c>
      <c r="P1336" s="54">
        <v>0.114293984190439</v>
      </c>
    </row>
    <row r="1337" spans="1:16">
      <c r="A1337" t="s">
        <v>3375</v>
      </c>
      <c r="B1337" t="s">
        <v>2899</v>
      </c>
      <c r="C1337" t="s">
        <v>3376</v>
      </c>
      <c r="D1337" t="s">
        <v>27</v>
      </c>
      <c r="E1337" t="s">
        <v>28</v>
      </c>
      <c r="F1337" t="s">
        <v>225</v>
      </c>
      <c r="G1337">
        <v>3</v>
      </c>
      <c r="H1337">
        <v>4508.08</v>
      </c>
      <c r="I1337">
        <v>0.05</v>
      </c>
      <c r="J1337">
        <v>12848.03</v>
      </c>
      <c r="K1337">
        <v>2163.96</v>
      </c>
      <c r="L1337">
        <v>4.5</v>
      </c>
      <c r="M1337" s="53">
        <v>45179</v>
      </c>
      <c r="N1337" t="s">
        <v>30</v>
      </c>
      <c r="O1337" t="s">
        <v>23</v>
      </c>
      <c r="P1337" s="54">
        <v>0.1684273775824</v>
      </c>
    </row>
    <row r="1338" spans="1:16">
      <c r="A1338" t="s">
        <v>3377</v>
      </c>
      <c r="B1338" t="s">
        <v>608</v>
      </c>
      <c r="C1338" t="s">
        <v>3378</v>
      </c>
      <c r="D1338" t="s">
        <v>53</v>
      </c>
      <c r="E1338" t="s">
        <v>54</v>
      </c>
      <c r="F1338" t="s">
        <v>258</v>
      </c>
      <c r="G1338">
        <v>2</v>
      </c>
      <c r="H1338">
        <v>7241.69</v>
      </c>
      <c r="I1338">
        <v>0</v>
      </c>
      <c r="J1338">
        <v>14483.38</v>
      </c>
      <c r="K1338">
        <v>1351.05</v>
      </c>
      <c r="L1338">
        <v>4.2</v>
      </c>
      <c r="M1338" s="53">
        <v>45452</v>
      </c>
      <c r="N1338" t="s">
        <v>30</v>
      </c>
      <c r="O1338" t="s">
        <v>73</v>
      </c>
      <c r="P1338" s="54">
        <v>0.0932827834386725</v>
      </c>
    </row>
    <row r="1339" spans="1:16">
      <c r="A1339" t="s">
        <v>3379</v>
      </c>
      <c r="B1339" t="s">
        <v>3380</v>
      </c>
      <c r="C1339" t="s">
        <v>3381</v>
      </c>
      <c r="D1339" t="s">
        <v>27</v>
      </c>
      <c r="E1339" t="s">
        <v>28</v>
      </c>
      <c r="F1339" t="s">
        <v>192</v>
      </c>
      <c r="G1339">
        <v>5</v>
      </c>
      <c r="H1339">
        <v>12216.67</v>
      </c>
      <c r="I1339">
        <v>0.2</v>
      </c>
      <c r="J1339">
        <v>48866.68</v>
      </c>
      <c r="K1339">
        <v>10900.69</v>
      </c>
      <c r="L1339">
        <v>2.8</v>
      </c>
      <c r="M1339" s="53">
        <v>45262</v>
      </c>
      <c r="N1339" t="s">
        <v>43</v>
      </c>
      <c r="O1339" t="s">
        <v>31</v>
      </c>
      <c r="P1339" s="54">
        <v>0.223069993705322</v>
      </c>
    </row>
    <row r="1340" spans="1:16">
      <c r="A1340" t="s">
        <v>3382</v>
      </c>
      <c r="B1340" t="s">
        <v>1284</v>
      </c>
      <c r="C1340" t="s">
        <v>3383</v>
      </c>
      <c r="D1340" t="s">
        <v>27</v>
      </c>
      <c r="E1340" t="s">
        <v>28</v>
      </c>
      <c r="F1340" t="s">
        <v>225</v>
      </c>
      <c r="G1340">
        <v>4</v>
      </c>
      <c r="H1340">
        <v>16799.37</v>
      </c>
      <c r="I1340">
        <v>0.15</v>
      </c>
      <c r="J1340">
        <v>57117.86</v>
      </c>
      <c r="K1340">
        <v>6129.18</v>
      </c>
      <c r="L1340">
        <v>1.3</v>
      </c>
      <c r="M1340" s="53">
        <v>45087</v>
      </c>
      <c r="N1340" t="s">
        <v>30</v>
      </c>
      <c r="O1340" t="s">
        <v>44</v>
      </c>
      <c r="P1340" s="54">
        <v>0.107307591705992</v>
      </c>
    </row>
    <row r="1341" spans="1:16">
      <c r="A1341" t="s">
        <v>3384</v>
      </c>
      <c r="B1341" t="s">
        <v>1595</v>
      </c>
      <c r="C1341" t="s">
        <v>3385</v>
      </c>
      <c r="D1341" t="s">
        <v>53</v>
      </c>
      <c r="E1341" t="s">
        <v>54</v>
      </c>
      <c r="F1341" t="s">
        <v>55</v>
      </c>
      <c r="G1341">
        <v>4</v>
      </c>
      <c r="H1341">
        <v>6794.85</v>
      </c>
      <c r="I1341">
        <v>0.2</v>
      </c>
      <c r="J1341">
        <v>21743.52</v>
      </c>
      <c r="K1341">
        <v>1136.86</v>
      </c>
      <c r="L1341">
        <v>1.5</v>
      </c>
      <c r="M1341" s="53">
        <v>45570</v>
      </c>
      <c r="N1341" t="s">
        <v>56</v>
      </c>
      <c r="O1341" t="s">
        <v>57</v>
      </c>
      <c r="P1341" s="54">
        <v>0.0522850026122725</v>
      </c>
    </row>
    <row r="1342" spans="1:16">
      <c r="A1342" t="s">
        <v>3386</v>
      </c>
      <c r="B1342" t="s">
        <v>3087</v>
      </c>
      <c r="C1342" t="s">
        <v>3387</v>
      </c>
      <c r="D1342" t="s">
        <v>40</v>
      </c>
      <c r="E1342" t="s">
        <v>262</v>
      </c>
      <c r="F1342" t="s">
        <v>263</v>
      </c>
      <c r="G1342">
        <v>4</v>
      </c>
      <c r="H1342">
        <v>12210.01</v>
      </c>
      <c r="I1342">
        <v>0</v>
      </c>
      <c r="J1342">
        <v>48840.04</v>
      </c>
      <c r="K1342">
        <v>3864.23</v>
      </c>
      <c r="L1342">
        <v>4.9</v>
      </c>
      <c r="M1342" s="53">
        <v>44969</v>
      </c>
      <c r="N1342" t="s">
        <v>56</v>
      </c>
      <c r="O1342" t="s">
        <v>23</v>
      </c>
      <c r="P1342" s="54">
        <v>0.0791201235707424</v>
      </c>
    </row>
    <row r="1343" spans="1:16">
      <c r="A1343" t="s">
        <v>3388</v>
      </c>
      <c r="B1343" t="s">
        <v>2501</v>
      </c>
      <c r="C1343" t="s">
        <v>3389</v>
      </c>
      <c r="D1343" t="s">
        <v>27</v>
      </c>
      <c r="E1343" t="s">
        <v>117</v>
      </c>
      <c r="F1343" t="s">
        <v>225</v>
      </c>
      <c r="G1343">
        <v>4</v>
      </c>
      <c r="H1343">
        <v>9442.75</v>
      </c>
      <c r="I1343">
        <v>0.05</v>
      </c>
      <c r="J1343">
        <v>35882.45</v>
      </c>
      <c r="K1343">
        <v>6911.34</v>
      </c>
      <c r="L1343">
        <v>1.6</v>
      </c>
      <c r="M1343" s="53">
        <v>45645</v>
      </c>
      <c r="N1343" t="s">
        <v>22</v>
      </c>
      <c r="O1343" t="s">
        <v>23</v>
      </c>
      <c r="P1343" s="54">
        <v>0.19261059375823</v>
      </c>
    </row>
    <row r="1344" spans="1:16">
      <c r="A1344" t="s">
        <v>3390</v>
      </c>
      <c r="B1344" t="s">
        <v>2545</v>
      </c>
      <c r="C1344" t="s">
        <v>3391</v>
      </c>
      <c r="D1344" t="s">
        <v>53</v>
      </c>
      <c r="E1344" t="s">
        <v>54</v>
      </c>
      <c r="F1344" t="s">
        <v>109</v>
      </c>
      <c r="G1344">
        <v>3</v>
      </c>
      <c r="H1344">
        <v>15421.35</v>
      </c>
      <c r="I1344">
        <v>0.2</v>
      </c>
      <c r="J1344">
        <v>37011.24</v>
      </c>
      <c r="K1344">
        <v>8863.6</v>
      </c>
      <c r="L1344">
        <v>4.9</v>
      </c>
      <c r="M1344" s="53">
        <v>45288</v>
      </c>
      <c r="N1344" t="s">
        <v>22</v>
      </c>
      <c r="O1344" t="s">
        <v>23</v>
      </c>
      <c r="P1344" s="54">
        <v>0.239484005399441</v>
      </c>
    </row>
    <row r="1345" spans="1:16">
      <c r="A1345" t="s">
        <v>3392</v>
      </c>
      <c r="B1345" t="s">
        <v>1462</v>
      </c>
      <c r="C1345" t="s">
        <v>3393</v>
      </c>
      <c r="D1345" t="s">
        <v>40</v>
      </c>
      <c r="E1345" t="s">
        <v>262</v>
      </c>
      <c r="F1345" t="s">
        <v>345</v>
      </c>
      <c r="G1345">
        <v>5</v>
      </c>
      <c r="H1345">
        <v>3002.5</v>
      </c>
      <c r="I1345">
        <v>0.05</v>
      </c>
      <c r="J1345">
        <v>14261.88</v>
      </c>
      <c r="K1345">
        <v>2806.6</v>
      </c>
      <c r="L1345">
        <v>2.5</v>
      </c>
      <c r="M1345" s="53">
        <v>45568</v>
      </c>
      <c r="N1345" t="s">
        <v>22</v>
      </c>
      <c r="O1345" t="s">
        <v>23</v>
      </c>
      <c r="P1345" s="54">
        <v>0.196790324978194</v>
      </c>
    </row>
    <row r="1346" spans="1:16">
      <c r="A1346" t="s">
        <v>3394</v>
      </c>
      <c r="B1346" t="s">
        <v>3395</v>
      </c>
      <c r="C1346" t="s">
        <v>3396</v>
      </c>
      <c r="D1346" t="s">
        <v>19</v>
      </c>
      <c r="E1346" t="s">
        <v>20</v>
      </c>
      <c r="F1346" t="s">
        <v>121</v>
      </c>
      <c r="G1346">
        <v>2</v>
      </c>
      <c r="H1346">
        <v>7372.08</v>
      </c>
      <c r="I1346">
        <v>0.2</v>
      </c>
      <c r="J1346">
        <v>11795.33</v>
      </c>
      <c r="K1346">
        <v>1406.07</v>
      </c>
      <c r="L1346">
        <v>4.2</v>
      </c>
      <c r="M1346" s="53">
        <v>45002</v>
      </c>
      <c r="N1346" t="s">
        <v>56</v>
      </c>
      <c r="O1346" t="s">
        <v>23</v>
      </c>
      <c r="P1346" s="54">
        <v>0.119205651728269</v>
      </c>
    </row>
    <row r="1347" spans="1:16">
      <c r="A1347" t="s">
        <v>3397</v>
      </c>
      <c r="B1347" t="s">
        <v>459</v>
      </c>
      <c r="C1347" t="s">
        <v>3398</v>
      </c>
      <c r="D1347" t="s">
        <v>27</v>
      </c>
      <c r="E1347" t="s">
        <v>117</v>
      </c>
      <c r="F1347" t="s">
        <v>505</v>
      </c>
      <c r="G1347">
        <v>5</v>
      </c>
      <c r="H1347">
        <v>8329.05</v>
      </c>
      <c r="I1347">
        <v>0</v>
      </c>
      <c r="J1347">
        <v>41645.25</v>
      </c>
      <c r="K1347">
        <v>3639.43</v>
      </c>
      <c r="L1347">
        <v>1.3</v>
      </c>
      <c r="M1347" s="53">
        <v>44948</v>
      </c>
      <c r="N1347" t="s">
        <v>30</v>
      </c>
      <c r="O1347" t="s">
        <v>73</v>
      </c>
      <c r="P1347" s="54">
        <v>0.0873912390968958</v>
      </c>
    </row>
    <row r="1348" spans="1:16">
      <c r="A1348" t="s">
        <v>3399</v>
      </c>
      <c r="B1348" t="s">
        <v>860</v>
      </c>
      <c r="C1348" t="s">
        <v>3400</v>
      </c>
      <c r="D1348" t="s">
        <v>40</v>
      </c>
      <c r="E1348" t="s">
        <v>262</v>
      </c>
      <c r="F1348" t="s">
        <v>773</v>
      </c>
      <c r="G1348">
        <v>2</v>
      </c>
      <c r="H1348">
        <v>17700.67</v>
      </c>
      <c r="I1348">
        <v>0.05</v>
      </c>
      <c r="J1348">
        <v>33631.27</v>
      </c>
      <c r="K1348">
        <v>3942.3</v>
      </c>
      <c r="L1348">
        <v>1.7</v>
      </c>
      <c r="M1348" s="53">
        <v>45053</v>
      </c>
      <c r="N1348" t="s">
        <v>30</v>
      </c>
      <c r="O1348" t="s">
        <v>57</v>
      </c>
      <c r="P1348" s="54">
        <v>0.117221264614747</v>
      </c>
    </row>
    <row r="1349" spans="1:16">
      <c r="A1349" t="s">
        <v>3401</v>
      </c>
      <c r="B1349" t="s">
        <v>1309</v>
      </c>
      <c r="C1349" t="s">
        <v>3402</v>
      </c>
      <c r="D1349" t="s">
        <v>27</v>
      </c>
      <c r="E1349" t="s">
        <v>48</v>
      </c>
      <c r="F1349" t="s">
        <v>64</v>
      </c>
      <c r="G1349">
        <v>3</v>
      </c>
      <c r="H1349">
        <v>13297.96</v>
      </c>
      <c r="I1349">
        <v>0.05</v>
      </c>
      <c r="J1349">
        <v>37899.19</v>
      </c>
      <c r="K1349">
        <v>2326.84</v>
      </c>
      <c r="L1349">
        <v>3.7</v>
      </c>
      <c r="M1349" s="53">
        <v>45010</v>
      </c>
      <c r="N1349" t="s">
        <v>30</v>
      </c>
      <c r="O1349" t="s">
        <v>73</v>
      </c>
      <c r="P1349" s="54">
        <v>0.0613955073973877</v>
      </c>
    </row>
    <row r="1350" spans="1:16">
      <c r="A1350" t="s">
        <v>3403</v>
      </c>
      <c r="B1350" t="s">
        <v>698</v>
      </c>
      <c r="C1350" t="s">
        <v>3404</v>
      </c>
      <c r="D1350" t="s">
        <v>53</v>
      </c>
      <c r="E1350" t="s">
        <v>100</v>
      </c>
      <c r="F1350" t="s">
        <v>229</v>
      </c>
      <c r="G1350">
        <v>4</v>
      </c>
      <c r="H1350">
        <v>11108.67</v>
      </c>
      <c r="I1350">
        <v>0.2</v>
      </c>
      <c r="J1350">
        <v>35547.74</v>
      </c>
      <c r="K1350">
        <v>6356.24</v>
      </c>
      <c r="L1350">
        <v>1.4</v>
      </c>
      <c r="M1350" s="53">
        <v>45197</v>
      </c>
      <c r="N1350" t="s">
        <v>30</v>
      </c>
      <c r="O1350" t="s">
        <v>73</v>
      </c>
      <c r="P1350" s="54">
        <v>0.178808554355354</v>
      </c>
    </row>
    <row r="1351" spans="1:16">
      <c r="A1351" t="s">
        <v>3405</v>
      </c>
      <c r="B1351" t="s">
        <v>3406</v>
      </c>
      <c r="C1351" t="s">
        <v>3407</v>
      </c>
      <c r="D1351" t="s">
        <v>40</v>
      </c>
      <c r="E1351" t="s">
        <v>174</v>
      </c>
      <c r="F1351" t="s">
        <v>199</v>
      </c>
      <c r="G1351">
        <v>2</v>
      </c>
      <c r="H1351">
        <v>9389.15</v>
      </c>
      <c r="I1351">
        <v>0.15</v>
      </c>
      <c r="J1351">
        <v>15961.55</v>
      </c>
      <c r="K1351">
        <v>2112.98</v>
      </c>
      <c r="L1351">
        <v>2.6</v>
      </c>
      <c r="M1351" s="53">
        <v>45627</v>
      </c>
      <c r="N1351" t="s">
        <v>43</v>
      </c>
      <c r="O1351" t="s">
        <v>23</v>
      </c>
      <c r="P1351" s="54">
        <v>0.132379374183585</v>
      </c>
    </row>
    <row r="1352" spans="1:16">
      <c r="A1352" t="s">
        <v>3408</v>
      </c>
      <c r="B1352" t="s">
        <v>3409</v>
      </c>
      <c r="C1352" t="s">
        <v>3410</v>
      </c>
      <c r="D1352" t="s">
        <v>40</v>
      </c>
      <c r="E1352" t="s">
        <v>81</v>
      </c>
      <c r="F1352" t="s">
        <v>263</v>
      </c>
      <c r="G1352">
        <v>4</v>
      </c>
      <c r="H1352">
        <v>7642.48</v>
      </c>
      <c r="I1352">
        <v>0.05</v>
      </c>
      <c r="J1352">
        <v>29041.42</v>
      </c>
      <c r="K1352">
        <v>2421.65</v>
      </c>
      <c r="L1352">
        <v>4.3</v>
      </c>
      <c r="M1352" s="53">
        <v>45211</v>
      </c>
      <c r="N1352" t="s">
        <v>56</v>
      </c>
      <c r="O1352" t="s">
        <v>57</v>
      </c>
      <c r="P1352" s="54">
        <v>0.0833860740969278</v>
      </c>
    </row>
    <row r="1353" spans="1:16">
      <c r="A1353" t="s">
        <v>3411</v>
      </c>
      <c r="B1353" t="s">
        <v>883</v>
      </c>
      <c r="C1353" t="s">
        <v>3412</v>
      </c>
      <c r="D1353" t="s">
        <v>27</v>
      </c>
      <c r="E1353" t="s">
        <v>48</v>
      </c>
      <c r="F1353" t="s">
        <v>49</v>
      </c>
      <c r="G1353">
        <v>5</v>
      </c>
      <c r="H1353">
        <v>13202.66</v>
      </c>
      <c r="I1353">
        <v>0.05</v>
      </c>
      <c r="J1353">
        <v>62712.64</v>
      </c>
      <c r="K1353">
        <v>3528.5</v>
      </c>
      <c r="L1353">
        <v>3.4</v>
      </c>
      <c r="M1353" s="53">
        <v>45033</v>
      </c>
      <c r="N1353" t="s">
        <v>22</v>
      </c>
      <c r="O1353" t="s">
        <v>57</v>
      </c>
      <c r="P1353" s="54">
        <v>0.0562645744143445</v>
      </c>
    </row>
    <row r="1354" spans="1:16">
      <c r="A1354" t="s">
        <v>3413</v>
      </c>
      <c r="B1354" t="s">
        <v>3414</v>
      </c>
      <c r="C1354" t="s">
        <v>3415</v>
      </c>
      <c r="D1354" t="s">
        <v>40</v>
      </c>
      <c r="E1354" t="s">
        <v>41</v>
      </c>
      <c r="F1354" t="s">
        <v>42</v>
      </c>
      <c r="G1354">
        <v>1</v>
      </c>
      <c r="H1354">
        <v>12994.36</v>
      </c>
      <c r="I1354">
        <v>0</v>
      </c>
      <c r="J1354">
        <v>12994.36</v>
      </c>
      <c r="K1354">
        <v>1255.09</v>
      </c>
      <c r="L1354">
        <v>3.9</v>
      </c>
      <c r="M1354" s="53">
        <v>44927</v>
      </c>
      <c r="N1354" t="s">
        <v>22</v>
      </c>
      <c r="O1354" t="s">
        <v>73</v>
      </c>
      <c r="P1354" s="54">
        <v>0.0965872886390711</v>
      </c>
    </row>
    <row r="1355" spans="1:16">
      <c r="A1355" t="s">
        <v>3416</v>
      </c>
      <c r="B1355" t="s">
        <v>51</v>
      </c>
      <c r="C1355" t="s">
        <v>3417</v>
      </c>
      <c r="D1355" t="s">
        <v>53</v>
      </c>
      <c r="E1355" t="s">
        <v>95</v>
      </c>
      <c r="F1355" t="s">
        <v>524</v>
      </c>
      <c r="G1355">
        <v>1</v>
      </c>
      <c r="H1355">
        <v>16004.66</v>
      </c>
      <c r="I1355">
        <v>0.05</v>
      </c>
      <c r="J1355">
        <v>15204.43</v>
      </c>
      <c r="K1355">
        <v>2291.75</v>
      </c>
      <c r="L1355">
        <v>4.2</v>
      </c>
      <c r="M1355" s="53">
        <v>45618</v>
      </c>
      <c r="N1355" t="s">
        <v>56</v>
      </c>
      <c r="O1355" t="s">
        <v>31</v>
      </c>
      <c r="P1355" s="54">
        <v>0.150729096717207</v>
      </c>
    </row>
    <row r="1356" spans="1:16">
      <c r="A1356" t="s">
        <v>3418</v>
      </c>
      <c r="B1356" t="s">
        <v>567</v>
      </c>
      <c r="C1356" t="s">
        <v>3419</v>
      </c>
      <c r="D1356" t="s">
        <v>27</v>
      </c>
      <c r="E1356" t="s">
        <v>117</v>
      </c>
      <c r="F1356" t="s">
        <v>505</v>
      </c>
      <c r="G1356">
        <v>3</v>
      </c>
      <c r="H1356">
        <v>15010.52</v>
      </c>
      <c r="I1356">
        <v>0.05</v>
      </c>
      <c r="J1356">
        <v>42779.98</v>
      </c>
      <c r="K1356">
        <v>6419.93</v>
      </c>
      <c r="L1356">
        <v>4.8</v>
      </c>
      <c r="M1356" s="53">
        <v>44990</v>
      </c>
      <c r="N1356" t="s">
        <v>56</v>
      </c>
      <c r="O1356" t="s">
        <v>57</v>
      </c>
      <c r="P1356" s="54">
        <v>0.150068560106854</v>
      </c>
    </row>
    <row r="1357" spans="1:16">
      <c r="A1357" t="s">
        <v>3420</v>
      </c>
      <c r="B1357" t="s">
        <v>494</v>
      </c>
      <c r="C1357" t="s">
        <v>3421</v>
      </c>
      <c r="D1357" t="s">
        <v>53</v>
      </c>
      <c r="E1357" t="s">
        <v>71</v>
      </c>
      <c r="F1357" t="s">
        <v>150</v>
      </c>
      <c r="G1357">
        <v>3</v>
      </c>
      <c r="H1357">
        <v>7344.24</v>
      </c>
      <c r="I1357">
        <v>0.15</v>
      </c>
      <c r="J1357">
        <v>18727.81</v>
      </c>
      <c r="K1357">
        <v>2223.53</v>
      </c>
      <c r="L1357">
        <v>2.3</v>
      </c>
      <c r="M1357" s="53">
        <v>45107</v>
      </c>
      <c r="N1357" t="s">
        <v>30</v>
      </c>
      <c r="O1357" t="s">
        <v>44</v>
      </c>
      <c r="P1357" s="54">
        <v>0.118728778218062</v>
      </c>
    </row>
    <row r="1358" spans="1:16">
      <c r="A1358" t="s">
        <v>3422</v>
      </c>
      <c r="B1358" t="s">
        <v>3423</v>
      </c>
      <c r="C1358" t="s">
        <v>2170</v>
      </c>
      <c r="D1358" t="s">
        <v>19</v>
      </c>
      <c r="E1358" t="s">
        <v>86</v>
      </c>
      <c r="F1358" t="s">
        <v>87</v>
      </c>
      <c r="G1358">
        <v>3</v>
      </c>
      <c r="H1358">
        <v>12624.4</v>
      </c>
      <c r="I1358">
        <v>0.1</v>
      </c>
      <c r="J1358">
        <v>34085.88</v>
      </c>
      <c r="K1358">
        <v>2796.21</v>
      </c>
      <c r="L1358">
        <v>2.2</v>
      </c>
      <c r="M1358" s="53">
        <v>45413</v>
      </c>
      <c r="N1358" t="s">
        <v>56</v>
      </c>
      <c r="O1358" t="s">
        <v>57</v>
      </c>
      <c r="P1358" s="54">
        <v>0.0820342616942852</v>
      </c>
    </row>
    <row r="1359" spans="1:16">
      <c r="A1359" t="s">
        <v>3424</v>
      </c>
      <c r="B1359" t="s">
        <v>1804</v>
      </c>
      <c r="C1359" t="s">
        <v>3425</v>
      </c>
      <c r="D1359" t="s">
        <v>19</v>
      </c>
      <c r="E1359" t="s">
        <v>86</v>
      </c>
      <c r="F1359" t="s">
        <v>113</v>
      </c>
      <c r="G1359">
        <v>3</v>
      </c>
      <c r="H1359">
        <v>16669.97</v>
      </c>
      <c r="I1359">
        <v>0.2</v>
      </c>
      <c r="J1359">
        <v>40007.93</v>
      </c>
      <c r="K1359">
        <v>2650.35</v>
      </c>
      <c r="L1359">
        <v>2.3</v>
      </c>
      <c r="M1359" s="53">
        <v>45263</v>
      </c>
      <c r="N1359" t="s">
        <v>56</v>
      </c>
      <c r="O1359" t="s">
        <v>23</v>
      </c>
      <c r="P1359" s="54">
        <v>0.0662456168064681</v>
      </c>
    </row>
    <row r="1360" spans="1:16">
      <c r="A1360" t="s">
        <v>3426</v>
      </c>
      <c r="B1360" t="s">
        <v>2194</v>
      </c>
      <c r="C1360" t="s">
        <v>3427</v>
      </c>
      <c r="D1360" t="s">
        <v>19</v>
      </c>
      <c r="E1360" t="s">
        <v>20</v>
      </c>
      <c r="F1360" t="s">
        <v>21</v>
      </c>
      <c r="G1360">
        <v>5</v>
      </c>
      <c r="H1360">
        <v>11752</v>
      </c>
      <c r="I1360">
        <v>0.15</v>
      </c>
      <c r="J1360">
        <v>49946</v>
      </c>
      <c r="K1360">
        <v>11939.69</v>
      </c>
      <c r="L1360">
        <v>2.3</v>
      </c>
      <c r="M1360" s="53">
        <v>45200</v>
      </c>
      <c r="N1360" t="s">
        <v>30</v>
      </c>
      <c r="O1360" t="s">
        <v>73</v>
      </c>
      <c r="P1360" s="54">
        <v>0.239051976134225</v>
      </c>
    </row>
    <row r="1361" spans="1:16">
      <c r="A1361" t="s">
        <v>3428</v>
      </c>
      <c r="B1361" t="s">
        <v>3429</v>
      </c>
      <c r="C1361" t="s">
        <v>3430</v>
      </c>
      <c r="D1361" t="s">
        <v>53</v>
      </c>
      <c r="E1361" t="s">
        <v>71</v>
      </c>
      <c r="F1361" t="s">
        <v>72</v>
      </c>
      <c r="G1361">
        <v>4</v>
      </c>
      <c r="H1361">
        <v>16978.64</v>
      </c>
      <c r="I1361">
        <v>0.1</v>
      </c>
      <c r="J1361">
        <v>61123.1</v>
      </c>
      <c r="K1361">
        <v>13401.1</v>
      </c>
      <c r="L1361">
        <v>3.8</v>
      </c>
      <c r="M1361" s="53">
        <v>45080</v>
      </c>
      <c r="N1361" t="s">
        <v>43</v>
      </c>
      <c r="O1361" t="s">
        <v>57</v>
      </c>
      <c r="P1361" s="54">
        <v>0.219247714857394</v>
      </c>
    </row>
    <row r="1362" spans="1:16">
      <c r="A1362" t="s">
        <v>3431</v>
      </c>
      <c r="B1362" t="s">
        <v>639</v>
      </c>
      <c r="C1362" t="s">
        <v>3432</v>
      </c>
      <c r="D1362" t="s">
        <v>40</v>
      </c>
      <c r="E1362" t="s">
        <v>41</v>
      </c>
      <c r="F1362" t="s">
        <v>42</v>
      </c>
      <c r="G1362">
        <v>4</v>
      </c>
      <c r="H1362">
        <v>14894.46</v>
      </c>
      <c r="I1362">
        <v>0.2</v>
      </c>
      <c r="J1362">
        <v>47662.27</v>
      </c>
      <c r="K1362">
        <v>3608.88</v>
      </c>
      <c r="L1362">
        <v>3.1</v>
      </c>
      <c r="M1362" s="53">
        <v>45131</v>
      </c>
      <c r="N1362" t="s">
        <v>22</v>
      </c>
      <c r="O1362" t="s">
        <v>57</v>
      </c>
      <c r="P1362" s="54">
        <v>0.0757177532668922</v>
      </c>
    </row>
    <row r="1363" spans="1:16">
      <c r="A1363" t="s">
        <v>3433</v>
      </c>
      <c r="B1363" t="s">
        <v>3434</v>
      </c>
      <c r="C1363" t="s">
        <v>3435</v>
      </c>
      <c r="D1363" t="s">
        <v>53</v>
      </c>
      <c r="E1363" t="s">
        <v>54</v>
      </c>
      <c r="F1363" t="s">
        <v>249</v>
      </c>
      <c r="G1363">
        <v>1</v>
      </c>
      <c r="H1363">
        <v>4955.54</v>
      </c>
      <c r="I1363">
        <v>0</v>
      </c>
      <c r="J1363">
        <v>4955.54</v>
      </c>
      <c r="K1363">
        <v>655.38</v>
      </c>
      <c r="L1363">
        <v>4.7</v>
      </c>
      <c r="M1363" s="53">
        <v>45224</v>
      </c>
      <c r="N1363" t="s">
        <v>56</v>
      </c>
      <c r="O1363" t="s">
        <v>23</v>
      </c>
      <c r="P1363" s="54">
        <v>0.132251984647485</v>
      </c>
    </row>
    <row r="1364" spans="1:16">
      <c r="A1364" t="s">
        <v>3436</v>
      </c>
      <c r="B1364" t="s">
        <v>1670</v>
      </c>
      <c r="C1364" t="s">
        <v>3437</v>
      </c>
      <c r="D1364" t="s">
        <v>53</v>
      </c>
      <c r="E1364" t="s">
        <v>100</v>
      </c>
      <c r="F1364" t="s">
        <v>229</v>
      </c>
      <c r="G1364">
        <v>1</v>
      </c>
      <c r="H1364">
        <v>18151.79</v>
      </c>
      <c r="I1364">
        <v>0.15</v>
      </c>
      <c r="J1364">
        <v>15429.02</v>
      </c>
      <c r="K1364">
        <v>901.44</v>
      </c>
      <c r="L1364">
        <v>1.3</v>
      </c>
      <c r="M1364" s="53">
        <v>45169</v>
      </c>
      <c r="N1364" t="s">
        <v>56</v>
      </c>
      <c r="O1364" t="s">
        <v>31</v>
      </c>
      <c r="P1364" s="54">
        <v>0.0584249680148188</v>
      </c>
    </row>
    <row r="1365" spans="1:16">
      <c r="A1365" t="s">
        <v>3438</v>
      </c>
      <c r="B1365" t="s">
        <v>2280</v>
      </c>
      <c r="C1365" t="s">
        <v>3439</v>
      </c>
      <c r="D1365" t="s">
        <v>40</v>
      </c>
      <c r="E1365" t="s">
        <v>41</v>
      </c>
      <c r="F1365" t="s">
        <v>42</v>
      </c>
      <c r="G1365">
        <v>5</v>
      </c>
      <c r="H1365">
        <v>14417.1</v>
      </c>
      <c r="I1365">
        <v>0.15</v>
      </c>
      <c r="J1365">
        <v>61272.67</v>
      </c>
      <c r="K1365">
        <v>13649.98</v>
      </c>
      <c r="L1365">
        <v>4</v>
      </c>
      <c r="M1365" s="53">
        <v>45403</v>
      </c>
      <c r="N1365" t="s">
        <v>22</v>
      </c>
      <c r="O1365" t="s">
        <v>23</v>
      </c>
      <c r="P1365" s="54">
        <v>0.2227743625339</v>
      </c>
    </row>
    <row r="1366" spans="1:16">
      <c r="A1366" t="s">
        <v>3440</v>
      </c>
      <c r="B1366" t="s">
        <v>2652</v>
      </c>
      <c r="C1366" t="s">
        <v>3441</v>
      </c>
      <c r="D1366" t="s">
        <v>40</v>
      </c>
      <c r="E1366" t="s">
        <v>262</v>
      </c>
      <c r="F1366" t="s">
        <v>345</v>
      </c>
      <c r="G1366">
        <v>5</v>
      </c>
      <c r="H1366">
        <v>6207.14</v>
      </c>
      <c r="I1366">
        <v>0.05</v>
      </c>
      <c r="J1366">
        <v>29483.92</v>
      </c>
      <c r="K1366">
        <v>4658.76</v>
      </c>
      <c r="L1366">
        <v>4</v>
      </c>
      <c r="M1366" s="53">
        <v>45558</v>
      </c>
      <c r="N1366" t="s">
        <v>22</v>
      </c>
      <c r="O1366" t="s">
        <v>73</v>
      </c>
      <c r="P1366" s="54">
        <v>0.158010196744531</v>
      </c>
    </row>
    <row r="1367" spans="1:16">
      <c r="A1367" t="s">
        <v>3442</v>
      </c>
      <c r="B1367" t="s">
        <v>3443</v>
      </c>
      <c r="C1367" t="s">
        <v>3444</v>
      </c>
      <c r="D1367" t="s">
        <v>40</v>
      </c>
      <c r="E1367" t="s">
        <v>81</v>
      </c>
      <c r="F1367" t="s">
        <v>263</v>
      </c>
      <c r="G1367">
        <v>4</v>
      </c>
      <c r="H1367">
        <v>749.78</v>
      </c>
      <c r="I1367">
        <v>0.2</v>
      </c>
      <c r="J1367">
        <v>2399.3</v>
      </c>
      <c r="K1367">
        <v>432.18</v>
      </c>
      <c r="L1367">
        <v>2.6</v>
      </c>
      <c r="M1367" s="53">
        <v>45261</v>
      </c>
      <c r="N1367" t="s">
        <v>22</v>
      </c>
      <c r="O1367" t="s">
        <v>31</v>
      </c>
      <c r="P1367" s="54">
        <v>0.18012753719835</v>
      </c>
    </row>
    <row r="1368" spans="1:16">
      <c r="A1368" t="s">
        <v>3445</v>
      </c>
      <c r="B1368" t="s">
        <v>1452</v>
      </c>
      <c r="C1368" t="s">
        <v>3446</v>
      </c>
      <c r="D1368" t="s">
        <v>19</v>
      </c>
      <c r="E1368" t="s">
        <v>86</v>
      </c>
      <c r="F1368" t="s">
        <v>182</v>
      </c>
      <c r="G1368">
        <v>2</v>
      </c>
      <c r="H1368">
        <v>16115.24</v>
      </c>
      <c r="I1368">
        <v>0.05</v>
      </c>
      <c r="J1368">
        <v>30618.96</v>
      </c>
      <c r="K1368">
        <v>5229.48</v>
      </c>
      <c r="L1368">
        <v>1.4</v>
      </c>
      <c r="M1368" s="53">
        <v>45481</v>
      </c>
      <c r="N1368" t="s">
        <v>30</v>
      </c>
      <c r="O1368" t="s">
        <v>31</v>
      </c>
      <c r="P1368" s="54">
        <v>0.170792215019713</v>
      </c>
    </row>
    <row r="1369" spans="1:16">
      <c r="A1369" t="s">
        <v>3447</v>
      </c>
      <c r="B1369" t="s">
        <v>2961</v>
      </c>
      <c r="C1369" t="s">
        <v>3448</v>
      </c>
      <c r="D1369" t="s">
        <v>40</v>
      </c>
      <c r="E1369" t="s">
        <v>81</v>
      </c>
      <c r="F1369" t="s">
        <v>263</v>
      </c>
      <c r="G1369">
        <v>4</v>
      </c>
      <c r="H1369">
        <v>5416.89</v>
      </c>
      <c r="I1369">
        <v>0.15</v>
      </c>
      <c r="J1369">
        <v>18417.43</v>
      </c>
      <c r="K1369">
        <v>1268.85</v>
      </c>
      <c r="L1369">
        <v>2.2</v>
      </c>
      <c r="M1369" s="53">
        <v>45619</v>
      </c>
      <c r="N1369" t="s">
        <v>43</v>
      </c>
      <c r="O1369" t="s">
        <v>23</v>
      </c>
      <c r="P1369" s="54">
        <v>0.0688939770641181</v>
      </c>
    </row>
    <row r="1370" spans="1:16">
      <c r="A1370" t="s">
        <v>3449</v>
      </c>
      <c r="B1370" t="s">
        <v>231</v>
      </c>
      <c r="C1370" t="s">
        <v>3450</v>
      </c>
      <c r="D1370" t="s">
        <v>27</v>
      </c>
      <c r="E1370" t="s">
        <v>233</v>
      </c>
      <c r="F1370" t="s">
        <v>234</v>
      </c>
      <c r="G1370">
        <v>1</v>
      </c>
      <c r="H1370">
        <v>16423.11</v>
      </c>
      <c r="I1370">
        <v>0.15</v>
      </c>
      <c r="J1370">
        <v>13959.64</v>
      </c>
      <c r="K1370">
        <v>3160.27</v>
      </c>
      <c r="L1370">
        <v>3.6</v>
      </c>
      <c r="M1370" s="53">
        <v>45312</v>
      </c>
      <c r="N1370" t="s">
        <v>56</v>
      </c>
      <c r="O1370" t="s">
        <v>73</v>
      </c>
      <c r="P1370" s="54">
        <v>0.22638621053265</v>
      </c>
    </row>
    <row r="1371" spans="1:16">
      <c r="A1371" t="s">
        <v>3451</v>
      </c>
      <c r="B1371" t="s">
        <v>3452</v>
      </c>
      <c r="C1371" t="s">
        <v>3453</v>
      </c>
      <c r="D1371" t="s">
        <v>53</v>
      </c>
      <c r="E1371" t="s">
        <v>95</v>
      </c>
      <c r="F1371" t="s">
        <v>524</v>
      </c>
      <c r="G1371">
        <v>4</v>
      </c>
      <c r="H1371">
        <v>19583.98</v>
      </c>
      <c r="I1371">
        <v>0.2</v>
      </c>
      <c r="J1371">
        <v>62668.74</v>
      </c>
      <c r="K1371">
        <v>11976.82</v>
      </c>
      <c r="L1371">
        <v>1.6</v>
      </c>
      <c r="M1371" s="53">
        <v>45076</v>
      </c>
      <c r="N1371" t="s">
        <v>22</v>
      </c>
      <c r="O1371" t="s">
        <v>57</v>
      </c>
      <c r="P1371" s="54">
        <v>0.19111314508637</v>
      </c>
    </row>
    <row r="1372" spans="1:16">
      <c r="A1372" t="s">
        <v>3454</v>
      </c>
      <c r="B1372" t="s">
        <v>3370</v>
      </c>
      <c r="C1372" t="s">
        <v>3455</v>
      </c>
      <c r="D1372" t="s">
        <v>19</v>
      </c>
      <c r="E1372" t="s">
        <v>86</v>
      </c>
      <c r="F1372" t="s">
        <v>87</v>
      </c>
      <c r="G1372">
        <v>4</v>
      </c>
      <c r="H1372">
        <v>1429.84</v>
      </c>
      <c r="I1372">
        <v>0.05</v>
      </c>
      <c r="J1372">
        <v>5433.39</v>
      </c>
      <c r="K1372">
        <v>731.74</v>
      </c>
      <c r="L1372">
        <v>2</v>
      </c>
      <c r="M1372" s="53">
        <v>45313</v>
      </c>
      <c r="N1372" t="s">
        <v>22</v>
      </c>
      <c r="O1372" t="s">
        <v>23</v>
      </c>
      <c r="P1372" s="54">
        <v>0.134674669037194</v>
      </c>
    </row>
    <row r="1373" spans="1:16">
      <c r="A1373" t="s">
        <v>3456</v>
      </c>
      <c r="B1373" t="s">
        <v>2595</v>
      </c>
      <c r="C1373" t="s">
        <v>3457</v>
      </c>
      <c r="D1373" t="s">
        <v>40</v>
      </c>
      <c r="E1373" t="s">
        <v>81</v>
      </c>
      <c r="F1373" t="s">
        <v>241</v>
      </c>
      <c r="G1373">
        <v>1</v>
      </c>
      <c r="H1373">
        <v>1097.07</v>
      </c>
      <c r="I1373">
        <v>0.15</v>
      </c>
      <c r="J1373">
        <v>932.51</v>
      </c>
      <c r="K1373">
        <v>135.89</v>
      </c>
      <c r="L1373">
        <v>2.8</v>
      </c>
      <c r="M1373" s="53">
        <v>45539</v>
      </c>
      <c r="N1373" t="s">
        <v>22</v>
      </c>
      <c r="O1373" t="s">
        <v>73</v>
      </c>
      <c r="P1373" s="54">
        <v>0.145724978820603</v>
      </c>
    </row>
    <row r="1374" spans="1:16">
      <c r="A1374" t="s">
        <v>3458</v>
      </c>
      <c r="B1374" t="s">
        <v>115</v>
      </c>
      <c r="C1374" t="s">
        <v>3459</v>
      </c>
      <c r="D1374" t="s">
        <v>19</v>
      </c>
      <c r="E1374" t="s">
        <v>35</v>
      </c>
      <c r="F1374" t="s">
        <v>215</v>
      </c>
      <c r="G1374">
        <v>4</v>
      </c>
      <c r="H1374">
        <v>16364.17</v>
      </c>
      <c r="I1374">
        <v>0.1</v>
      </c>
      <c r="J1374">
        <v>58911.01</v>
      </c>
      <c r="K1374">
        <v>12542.63</v>
      </c>
      <c r="L1374">
        <v>2.6</v>
      </c>
      <c r="M1374" s="53">
        <v>45033</v>
      </c>
      <c r="N1374" t="s">
        <v>22</v>
      </c>
      <c r="O1374" t="s">
        <v>44</v>
      </c>
      <c r="P1374" s="54">
        <v>0.212908079491423</v>
      </c>
    </row>
    <row r="1375" spans="1:16">
      <c r="A1375" t="s">
        <v>3460</v>
      </c>
      <c r="B1375" t="s">
        <v>1205</v>
      </c>
      <c r="C1375" t="s">
        <v>3461</v>
      </c>
      <c r="D1375" t="s">
        <v>19</v>
      </c>
      <c r="E1375" t="s">
        <v>20</v>
      </c>
      <c r="F1375" t="s">
        <v>21</v>
      </c>
      <c r="G1375">
        <v>5</v>
      </c>
      <c r="H1375">
        <v>6217.11</v>
      </c>
      <c r="I1375">
        <v>0.15</v>
      </c>
      <c r="J1375">
        <v>26422.72</v>
      </c>
      <c r="K1375">
        <v>4261.34</v>
      </c>
      <c r="L1375">
        <v>2.2</v>
      </c>
      <c r="M1375" s="53">
        <v>45561</v>
      </c>
      <c r="N1375" t="s">
        <v>56</v>
      </c>
      <c r="O1375" t="s">
        <v>44</v>
      </c>
      <c r="P1375" s="54">
        <v>0.161275599181311</v>
      </c>
    </row>
    <row r="1376" spans="1:16">
      <c r="A1376" t="s">
        <v>3462</v>
      </c>
      <c r="B1376" t="s">
        <v>543</v>
      </c>
      <c r="C1376" t="s">
        <v>3463</v>
      </c>
      <c r="D1376" t="s">
        <v>19</v>
      </c>
      <c r="E1376" t="s">
        <v>35</v>
      </c>
      <c r="F1376" t="s">
        <v>121</v>
      </c>
      <c r="G1376">
        <v>5</v>
      </c>
      <c r="H1376">
        <v>3906.45</v>
      </c>
      <c r="I1376">
        <v>0.1</v>
      </c>
      <c r="J1376">
        <v>17579.03</v>
      </c>
      <c r="K1376">
        <v>4063.93</v>
      </c>
      <c r="L1376">
        <v>2.2</v>
      </c>
      <c r="M1376" s="53">
        <v>45208</v>
      </c>
      <c r="N1376" t="s">
        <v>56</v>
      </c>
      <c r="O1376" t="s">
        <v>57</v>
      </c>
      <c r="P1376" s="54">
        <v>0.231180560019523</v>
      </c>
    </row>
    <row r="1377" spans="1:16">
      <c r="A1377" t="s">
        <v>3464</v>
      </c>
      <c r="B1377" t="s">
        <v>3465</v>
      </c>
      <c r="C1377" t="s">
        <v>3466</v>
      </c>
      <c r="D1377" t="s">
        <v>19</v>
      </c>
      <c r="E1377" t="s">
        <v>20</v>
      </c>
      <c r="F1377" t="s">
        <v>21</v>
      </c>
      <c r="G1377">
        <v>2</v>
      </c>
      <c r="H1377">
        <v>13302.93</v>
      </c>
      <c r="I1377">
        <v>0.1</v>
      </c>
      <c r="J1377">
        <v>23945.27</v>
      </c>
      <c r="K1377">
        <v>5928.66</v>
      </c>
      <c r="L1377">
        <v>3.2</v>
      </c>
      <c r="M1377" s="53">
        <v>45340</v>
      </c>
      <c r="N1377" t="s">
        <v>30</v>
      </c>
      <c r="O1377" t="s">
        <v>31</v>
      </c>
      <c r="P1377" s="54">
        <v>0.247592113181434</v>
      </c>
    </row>
    <row r="1378" spans="1:16">
      <c r="A1378" t="s">
        <v>3467</v>
      </c>
      <c r="B1378" t="s">
        <v>2828</v>
      </c>
      <c r="C1378" t="s">
        <v>3468</v>
      </c>
      <c r="D1378" t="s">
        <v>27</v>
      </c>
      <c r="E1378" t="s">
        <v>117</v>
      </c>
      <c r="F1378" t="s">
        <v>118</v>
      </c>
      <c r="G1378">
        <v>3</v>
      </c>
      <c r="H1378">
        <v>2502.42</v>
      </c>
      <c r="I1378">
        <v>0</v>
      </c>
      <c r="J1378">
        <v>7507.26</v>
      </c>
      <c r="K1378">
        <v>1140.45</v>
      </c>
      <c r="L1378">
        <v>2.4</v>
      </c>
      <c r="M1378" s="53">
        <v>45472</v>
      </c>
      <c r="N1378" t="s">
        <v>30</v>
      </c>
      <c r="O1378" t="s">
        <v>44</v>
      </c>
      <c r="P1378" s="54">
        <v>0.151912948266078</v>
      </c>
    </row>
    <row r="1379" spans="1:16">
      <c r="A1379" t="s">
        <v>3469</v>
      </c>
      <c r="B1379" t="s">
        <v>3470</v>
      </c>
      <c r="C1379" t="s">
        <v>3471</v>
      </c>
      <c r="D1379" t="s">
        <v>19</v>
      </c>
      <c r="E1379" t="s">
        <v>35</v>
      </c>
      <c r="F1379" t="s">
        <v>36</v>
      </c>
      <c r="G1379">
        <v>5</v>
      </c>
      <c r="H1379">
        <v>18213.32</v>
      </c>
      <c r="I1379">
        <v>0.05</v>
      </c>
      <c r="J1379">
        <v>86513.27</v>
      </c>
      <c r="K1379">
        <v>5956.6</v>
      </c>
      <c r="L1379">
        <v>4.8</v>
      </c>
      <c r="M1379" s="53">
        <v>45183</v>
      </c>
      <c r="N1379" t="s">
        <v>43</v>
      </c>
      <c r="O1379" t="s">
        <v>44</v>
      </c>
      <c r="P1379" s="54">
        <v>0.0688518651531725</v>
      </c>
    </row>
    <row r="1380" spans="1:16">
      <c r="A1380" t="s">
        <v>3472</v>
      </c>
      <c r="B1380" t="s">
        <v>2074</v>
      </c>
      <c r="C1380" t="s">
        <v>3473</v>
      </c>
      <c r="D1380" t="s">
        <v>53</v>
      </c>
      <c r="E1380" t="s">
        <v>95</v>
      </c>
      <c r="F1380" t="s">
        <v>271</v>
      </c>
      <c r="G1380">
        <v>1</v>
      </c>
      <c r="H1380">
        <v>383.99</v>
      </c>
      <c r="I1380">
        <v>0.1</v>
      </c>
      <c r="J1380">
        <v>345.59</v>
      </c>
      <c r="K1380">
        <v>80.3</v>
      </c>
      <c r="L1380">
        <v>1</v>
      </c>
      <c r="M1380" s="53">
        <v>45388</v>
      </c>
      <c r="N1380" t="s">
        <v>43</v>
      </c>
      <c r="O1380" t="s">
        <v>31</v>
      </c>
      <c r="P1380" s="54">
        <v>0.232356260308458</v>
      </c>
    </row>
    <row r="1381" spans="1:16">
      <c r="A1381" t="s">
        <v>3474</v>
      </c>
      <c r="B1381" t="s">
        <v>145</v>
      </c>
      <c r="C1381" t="s">
        <v>3475</v>
      </c>
      <c r="D1381" t="s">
        <v>53</v>
      </c>
      <c r="E1381" t="s">
        <v>100</v>
      </c>
      <c r="F1381" t="s">
        <v>271</v>
      </c>
      <c r="G1381">
        <v>3</v>
      </c>
      <c r="H1381">
        <v>4800.41</v>
      </c>
      <c r="I1381">
        <v>0.15</v>
      </c>
      <c r="J1381">
        <v>12241.05</v>
      </c>
      <c r="K1381">
        <v>1006.59</v>
      </c>
      <c r="L1381">
        <v>2</v>
      </c>
      <c r="M1381" s="53">
        <v>45449</v>
      </c>
      <c r="N1381" t="s">
        <v>43</v>
      </c>
      <c r="O1381" t="s">
        <v>57</v>
      </c>
      <c r="P1381" s="54">
        <v>0.0822306909946451</v>
      </c>
    </row>
    <row r="1382" spans="1:16">
      <c r="A1382" t="s">
        <v>3476</v>
      </c>
      <c r="B1382" t="s">
        <v>687</v>
      </c>
      <c r="C1382" t="s">
        <v>2989</v>
      </c>
      <c r="D1382" t="s">
        <v>27</v>
      </c>
      <c r="E1382" t="s">
        <v>233</v>
      </c>
      <c r="F1382" t="s">
        <v>362</v>
      </c>
      <c r="G1382">
        <v>2</v>
      </c>
      <c r="H1382">
        <v>10942.4</v>
      </c>
      <c r="I1382">
        <v>0.05</v>
      </c>
      <c r="J1382">
        <v>20790.56</v>
      </c>
      <c r="K1382">
        <v>4632.26</v>
      </c>
      <c r="L1382">
        <v>1.7</v>
      </c>
      <c r="M1382" s="53">
        <v>45396</v>
      </c>
      <c r="N1382" t="s">
        <v>30</v>
      </c>
      <c r="O1382" t="s">
        <v>31</v>
      </c>
      <c r="P1382" s="54">
        <v>0.222805927305469</v>
      </c>
    </row>
    <row r="1383" spans="1:16">
      <c r="A1383" t="s">
        <v>3477</v>
      </c>
      <c r="B1383" t="s">
        <v>3478</v>
      </c>
      <c r="C1383" t="s">
        <v>1557</v>
      </c>
      <c r="D1383" t="s">
        <v>19</v>
      </c>
      <c r="E1383" t="s">
        <v>129</v>
      </c>
      <c r="F1383" t="s">
        <v>167</v>
      </c>
      <c r="G1383">
        <v>1</v>
      </c>
      <c r="H1383">
        <v>16968.97</v>
      </c>
      <c r="I1383">
        <v>0.1</v>
      </c>
      <c r="J1383">
        <v>15272.07</v>
      </c>
      <c r="K1383">
        <v>2168.82</v>
      </c>
      <c r="L1383">
        <v>2.1</v>
      </c>
      <c r="M1383" s="53">
        <v>45555</v>
      </c>
      <c r="N1383" t="s">
        <v>22</v>
      </c>
      <c r="O1383" t="s">
        <v>73</v>
      </c>
      <c r="P1383" s="54">
        <v>0.142012183024305</v>
      </c>
    </row>
    <row r="1384" spans="1:16">
      <c r="A1384" t="s">
        <v>3479</v>
      </c>
      <c r="B1384" t="s">
        <v>1779</v>
      </c>
      <c r="C1384" t="s">
        <v>3480</v>
      </c>
      <c r="D1384" t="s">
        <v>27</v>
      </c>
      <c r="E1384" t="s">
        <v>28</v>
      </c>
      <c r="F1384" t="s">
        <v>192</v>
      </c>
      <c r="G1384">
        <v>2</v>
      </c>
      <c r="H1384">
        <v>18980.99</v>
      </c>
      <c r="I1384">
        <v>0.15</v>
      </c>
      <c r="J1384">
        <v>32267.68</v>
      </c>
      <c r="K1384">
        <v>5082.6</v>
      </c>
      <c r="L1384">
        <v>2.4</v>
      </c>
      <c r="M1384" s="53">
        <v>45446</v>
      </c>
      <c r="N1384" t="s">
        <v>22</v>
      </c>
      <c r="O1384" t="s">
        <v>23</v>
      </c>
      <c r="P1384" s="54">
        <v>0.157513648331705</v>
      </c>
    </row>
    <row r="1385" spans="1:16">
      <c r="A1385" t="s">
        <v>3481</v>
      </c>
      <c r="B1385" t="s">
        <v>1540</v>
      </c>
      <c r="C1385" t="s">
        <v>3482</v>
      </c>
      <c r="D1385" t="s">
        <v>40</v>
      </c>
      <c r="E1385" t="s">
        <v>174</v>
      </c>
      <c r="F1385" t="s">
        <v>175</v>
      </c>
      <c r="G1385">
        <v>3</v>
      </c>
      <c r="H1385">
        <v>12801.57</v>
      </c>
      <c r="I1385">
        <v>0.2</v>
      </c>
      <c r="J1385">
        <v>30723.77</v>
      </c>
      <c r="K1385">
        <v>3340.22</v>
      </c>
      <c r="L1385">
        <v>1.1</v>
      </c>
      <c r="M1385" s="53">
        <v>45367</v>
      </c>
      <c r="N1385" t="s">
        <v>22</v>
      </c>
      <c r="O1385" t="s">
        <v>31</v>
      </c>
      <c r="P1385" s="54">
        <v>0.108717777798753</v>
      </c>
    </row>
    <row r="1386" spans="1:16">
      <c r="A1386" t="s">
        <v>3483</v>
      </c>
      <c r="B1386" t="s">
        <v>3484</v>
      </c>
      <c r="C1386" t="s">
        <v>3485</v>
      </c>
      <c r="D1386" t="s">
        <v>27</v>
      </c>
      <c r="E1386" t="s">
        <v>28</v>
      </c>
      <c r="F1386" t="s">
        <v>29</v>
      </c>
      <c r="G1386">
        <v>2</v>
      </c>
      <c r="H1386">
        <v>2783.33</v>
      </c>
      <c r="I1386">
        <v>0.05</v>
      </c>
      <c r="J1386">
        <v>5288.33</v>
      </c>
      <c r="K1386">
        <v>897.84</v>
      </c>
      <c r="L1386">
        <v>4.2</v>
      </c>
      <c r="M1386" s="53">
        <v>45063</v>
      </c>
      <c r="N1386" t="s">
        <v>30</v>
      </c>
      <c r="O1386" t="s">
        <v>57</v>
      </c>
      <c r="P1386" s="54">
        <v>0.169777604650239</v>
      </c>
    </row>
    <row r="1387" spans="1:16">
      <c r="A1387" t="s">
        <v>3486</v>
      </c>
      <c r="B1387" t="s">
        <v>304</v>
      </c>
      <c r="C1387" t="s">
        <v>3487</v>
      </c>
      <c r="D1387" t="s">
        <v>19</v>
      </c>
      <c r="E1387" t="s">
        <v>129</v>
      </c>
      <c r="F1387" t="s">
        <v>320</v>
      </c>
      <c r="G1387">
        <v>5</v>
      </c>
      <c r="H1387">
        <v>19325.63</v>
      </c>
      <c r="I1387">
        <v>0.05</v>
      </c>
      <c r="J1387">
        <v>91796.74</v>
      </c>
      <c r="K1387">
        <v>12013.06</v>
      </c>
      <c r="L1387">
        <v>4.1</v>
      </c>
      <c r="M1387" s="53">
        <v>45607</v>
      </c>
      <c r="N1387" t="s">
        <v>22</v>
      </c>
      <c r="O1387" t="s">
        <v>73</v>
      </c>
      <c r="P1387" s="54">
        <v>0.130865867349973</v>
      </c>
    </row>
    <row r="1388" spans="1:16">
      <c r="A1388" t="s">
        <v>3488</v>
      </c>
      <c r="B1388" t="s">
        <v>1526</v>
      </c>
      <c r="C1388" t="s">
        <v>3489</v>
      </c>
      <c r="D1388" t="s">
        <v>27</v>
      </c>
      <c r="E1388" t="s">
        <v>28</v>
      </c>
      <c r="F1388" t="s">
        <v>105</v>
      </c>
      <c r="G1388">
        <v>2</v>
      </c>
      <c r="H1388">
        <v>5632.41</v>
      </c>
      <c r="I1388">
        <v>0.2</v>
      </c>
      <c r="J1388">
        <v>9011.86</v>
      </c>
      <c r="K1388">
        <v>1215.47</v>
      </c>
      <c r="L1388">
        <v>2.4</v>
      </c>
      <c r="M1388" s="53">
        <v>45106</v>
      </c>
      <c r="N1388" t="s">
        <v>22</v>
      </c>
      <c r="O1388" t="s">
        <v>73</v>
      </c>
      <c r="P1388" s="54">
        <v>0.134874487619648</v>
      </c>
    </row>
    <row r="1389" spans="1:16">
      <c r="A1389" t="s">
        <v>3490</v>
      </c>
      <c r="B1389" t="s">
        <v>734</v>
      </c>
      <c r="C1389" t="s">
        <v>1794</v>
      </c>
      <c r="D1389" t="s">
        <v>19</v>
      </c>
      <c r="E1389" t="s">
        <v>129</v>
      </c>
      <c r="F1389" t="s">
        <v>167</v>
      </c>
      <c r="G1389">
        <v>4</v>
      </c>
      <c r="H1389">
        <v>16376.52</v>
      </c>
      <c r="I1389">
        <v>0.05</v>
      </c>
      <c r="J1389">
        <v>62230.78</v>
      </c>
      <c r="K1389">
        <v>14670.27</v>
      </c>
      <c r="L1389">
        <v>4.3</v>
      </c>
      <c r="M1389" s="53">
        <v>45359</v>
      </c>
      <c r="N1389" t="s">
        <v>22</v>
      </c>
      <c r="O1389" t="s">
        <v>44</v>
      </c>
      <c r="P1389" s="54">
        <v>0.235739773790398</v>
      </c>
    </row>
    <row r="1390" spans="1:16">
      <c r="A1390" t="s">
        <v>3491</v>
      </c>
      <c r="B1390" t="s">
        <v>710</v>
      </c>
      <c r="C1390" t="s">
        <v>3492</v>
      </c>
      <c r="D1390" t="s">
        <v>53</v>
      </c>
      <c r="E1390" t="s">
        <v>95</v>
      </c>
      <c r="F1390" t="s">
        <v>96</v>
      </c>
      <c r="G1390">
        <v>3</v>
      </c>
      <c r="H1390">
        <v>14638.98</v>
      </c>
      <c r="I1390">
        <v>0.05</v>
      </c>
      <c r="J1390">
        <v>41721.09</v>
      </c>
      <c r="K1390">
        <v>7671.11</v>
      </c>
      <c r="L1390">
        <v>3.4</v>
      </c>
      <c r="M1390" s="53">
        <v>45603</v>
      </c>
      <c r="N1390" t="s">
        <v>43</v>
      </c>
      <c r="O1390" t="s">
        <v>23</v>
      </c>
      <c r="P1390" s="54">
        <v>0.183866480957233</v>
      </c>
    </row>
    <row r="1391" spans="1:16">
      <c r="A1391" t="s">
        <v>3493</v>
      </c>
      <c r="B1391" t="s">
        <v>786</v>
      </c>
      <c r="C1391" t="s">
        <v>3494</v>
      </c>
      <c r="D1391" t="s">
        <v>53</v>
      </c>
      <c r="E1391" t="s">
        <v>71</v>
      </c>
      <c r="F1391" t="s">
        <v>406</v>
      </c>
      <c r="G1391">
        <v>4</v>
      </c>
      <c r="H1391">
        <v>1771.78</v>
      </c>
      <c r="I1391">
        <v>0.05</v>
      </c>
      <c r="J1391">
        <v>6732.76</v>
      </c>
      <c r="K1391">
        <v>758.14</v>
      </c>
      <c r="L1391">
        <v>1.9</v>
      </c>
      <c r="M1391" s="53">
        <v>45007</v>
      </c>
      <c r="N1391" t="s">
        <v>56</v>
      </c>
      <c r="O1391" t="s">
        <v>44</v>
      </c>
      <c r="P1391" s="54">
        <v>0.112604637622609</v>
      </c>
    </row>
    <row r="1392" spans="1:16">
      <c r="A1392" t="s">
        <v>3495</v>
      </c>
      <c r="B1392" t="s">
        <v>1244</v>
      </c>
      <c r="C1392" t="s">
        <v>3496</v>
      </c>
      <c r="D1392" t="s">
        <v>53</v>
      </c>
      <c r="E1392" t="s">
        <v>100</v>
      </c>
      <c r="F1392" t="s">
        <v>271</v>
      </c>
      <c r="G1392">
        <v>2</v>
      </c>
      <c r="H1392">
        <v>13341.7</v>
      </c>
      <c r="I1392">
        <v>0.15</v>
      </c>
      <c r="J1392">
        <v>22680.89</v>
      </c>
      <c r="K1392">
        <v>4976.05</v>
      </c>
      <c r="L1392">
        <v>3.2</v>
      </c>
      <c r="M1392" s="53">
        <v>45262</v>
      </c>
      <c r="N1392" t="s">
        <v>30</v>
      </c>
      <c r="O1392" t="s">
        <v>31</v>
      </c>
      <c r="P1392" s="54">
        <v>0.219393947944723</v>
      </c>
    </row>
    <row r="1393" spans="1:16">
      <c r="A1393" t="s">
        <v>3497</v>
      </c>
      <c r="B1393" t="s">
        <v>546</v>
      </c>
      <c r="C1393" t="s">
        <v>3498</v>
      </c>
      <c r="D1393" t="s">
        <v>53</v>
      </c>
      <c r="E1393" t="s">
        <v>95</v>
      </c>
      <c r="F1393" t="s">
        <v>96</v>
      </c>
      <c r="G1393">
        <v>2</v>
      </c>
      <c r="H1393">
        <v>6689.7</v>
      </c>
      <c r="I1393">
        <v>0.05</v>
      </c>
      <c r="J1393">
        <v>12710.43</v>
      </c>
      <c r="K1393">
        <v>2275.62</v>
      </c>
      <c r="L1393">
        <v>4.4</v>
      </c>
      <c r="M1393" s="53">
        <v>45210</v>
      </c>
      <c r="N1393" t="s">
        <v>43</v>
      </c>
      <c r="O1393" t="s">
        <v>73</v>
      </c>
      <c r="P1393" s="54">
        <v>0.179035642381886</v>
      </c>
    </row>
    <row r="1394" spans="1:16">
      <c r="A1394" t="s">
        <v>3499</v>
      </c>
      <c r="B1394" t="s">
        <v>3500</v>
      </c>
      <c r="C1394" t="s">
        <v>2403</v>
      </c>
      <c r="D1394" t="s">
        <v>53</v>
      </c>
      <c r="E1394" t="s">
        <v>95</v>
      </c>
      <c r="F1394" t="s">
        <v>271</v>
      </c>
      <c r="G1394">
        <v>5</v>
      </c>
      <c r="H1394">
        <v>15379.39</v>
      </c>
      <c r="I1394">
        <v>0.1</v>
      </c>
      <c r="J1394">
        <v>69207.26</v>
      </c>
      <c r="K1394">
        <v>14693.8</v>
      </c>
      <c r="L1394">
        <v>3.2</v>
      </c>
      <c r="M1394" s="53">
        <v>45315</v>
      </c>
      <c r="N1394" t="s">
        <v>56</v>
      </c>
      <c r="O1394" t="s">
        <v>44</v>
      </c>
      <c r="P1394" s="54">
        <v>0.212315875530977</v>
      </c>
    </row>
    <row r="1395" spans="1:16">
      <c r="A1395" t="s">
        <v>3501</v>
      </c>
      <c r="B1395" t="s">
        <v>1713</v>
      </c>
      <c r="C1395" t="s">
        <v>3502</v>
      </c>
      <c r="D1395" t="s">
        <v>27</v>
      </c>
      <c r="E1395" t="s">
        <v>233</v>
      </c>
      <c r="F1395" t="s">
        <v>665</v>
      </c>
      <c r="G1395">
        <v>5</v>
      </c>
      <c r="H1395">
        <v>756.65</v>
      </c>
      <c r="I1395">
        <v>0.1</v>
      </c>
      <c r="J1395">
        <v>3404.93</v>
      </c>
      <c r="K1395">
        <v>281.49</v>
      </c>
      <c r="L1395">
        <v>1.8</v>
      </c>
      <c r="M1395" s="53">
        <v>45003</v>
      </c>
      <c r="N1395" t="s">
        <v>22</v>
      </c>
      <c r="O1395" t="s">
        <v>23</v>
      </c>
      <c r="P1395" s="54">
        <v>0.0826713030811206</v>
      </c>
    </row>
    <row r="1396" spans="1:16">
      <c r="A1396" t="s">
        <v>3503</v>
      </c>
      <c r="B1396" t="s">
        <v>561</v>
      </c>
      <c r="C1396" t="s">
        <v>3504</v>
      </c>
      <c r="D1396" t="s">
        <v>27</v>
      </c>
      <c r="E1396" t="s">
        <v>28</v>
      </c>
      <c r="F1396" t="s">
        <v>225</v>
      </c>
      <c r="G1396">
        <v>1</v>
      </c>
      <c r="H1396">
        <v>9910.31</v>
      </c>
      <c r="I1396">
        <v>0</v>
      </c>
      <c r="J1396">
        <v>9910.31</v>
      </c>
      <c r="K1396">
        <v>1885.21</v>
      </c>
      <c r="L1396">
        <v>4.3</v>
      </c>
      <c r="M1396" s="53">
        <v>45335</v>
      </c>
      <c r="N1396" t="s">
        <v>30</v>
      </c>
      <c r="O1396" t="s">
        <v>44</v>
      </c>
      <c r="P1396" s="54">
        <v>0.19022714728399</v>
      </c>
    </row>
    <row r="1397" spans="1:16">
      <c r="A1397" t="s">
        <v>3505</v>
      </c>
      <c r="B1397" t="s">
        <v>1309</v>
      </c>
      <c r="C1397" t="s">
        <v>3506</v>
      </c>
      <c r="D1397" t="s">
        <v>27</v>
      </c>
      <c r="E1397" t="s">
        <v>28</v>
      </c>
      <c r="F1397" t="s">
        <v>225</v>
      </c>
      <c r="G1397">
        <v>4</v>
      </c>
      <c r="H1397">
        <v>17989.35</v>
      </c>
      <c r="I1397">
        <v>0.05</v>
      </c>
      <c r="J1397">
        <v>68359.53</v>
      </c>
      <c r="K1397">
        <v>11392.13</v>
      </c>
      <c r="L1397">
        <v>1.5</v>
      </c>
      <c r="M1397" s="53">
        <v>45174</v>
      </c>
      <c r="N1397" t="s">
        <v>30</v>
      </c>
      <c r="O1397" t="s">
        <v>23</v>
      </c>
      <c r="P1397" s="54">
        <v>0.166650209561125</v>
      </c>
    </row>
    <row r="1398" spans="1:16">
      <c r="A1398" t="s">
        <v>3507</v>
      </c>
      <c r="B1398" t="s">
        <v>3508</v>
      </c>
      <c r="C1398" t="s">
        <v>3509</v>
      </c>
      <c r="D1398" t="s">
        <v>19</v>
      </c>
      <c r="E1398" t="s">
        <v>86</v>
      </c>
      <c r="F1398" t="s">
        <v>113</v>
      </c>
      <c r="G1398">
        <v>3</v>
      </c>
      <c r="H1398">
        <v>13670.27</v>
      </c>
      <c r="I1398">
        <v>0.2</v>
      </c>
      <c r="J1398">
        <v>32808.65</v>
      </c>
      <c r="K1398">
        <v>5083.78</v>
      </c>
      <c r="L1398">
        <v>4.6</v>
      </c>
      <c r="M1398" s="53">
        <v>45637</v>
      </c>
      <c r="N1398" t="s">
        <v>43</v>
      </c>
      <c r="O1398" t="s">
        <v>57</v>
      </c>
      <c r="P1398" s="54">
        <v>0.154952428704015</v>
      </c>
    </row>
    <row r="1399" spans="1:16">
      <c r="A1399" t="s">
        <v>3510</v>
      </c>
      <c r="B1399" t="s">
        <v>3511</v>
      </c>
      <c r="C1399" t="s">
        <v>3512</v>
      </c>
      <c r="D1399" t="s">
        <v>53</v>
      </c>
      <c r="E1399" t="s">
        <v>71</v>
      </c>
      <c r="F1399" t="s">
        <v>72</v>
      </c>
      <c r="G1399">
        <v>4</v>
      </c>
      <c r="H1399">
        <v>1092.37</v>
      </c>
      <c r="I1399">
        <v>0.15</v>
      </c>
      <c r="J1399">
        <v>3714.06</v>
      </c>
      <c r="K1399">
        <v>585.22</v>
      </c>
      <c r="L1399">
        <v>1.3</v>
      </c>
      <c r="M1399" s="53">
        <v>45125</v>
      </c>
      <c r="N1399" t="s">
        <v>43</v>
      </c>
      <c r="O1399" t="s">
        <v>73</v>
      </c>
      <c r="P1399" s="54">
        <v>0.157568806104371</v>
      </c>
    </row>
    <row r="1400" spans="1:16">
      <c r="A1400" t="s">
        <v>3513</v>
      </c>
      <c r="B1400" t="s">
        <v>1431</v>
      </c>
      <c r="C1400" t="s">
        <v>3514</v>
      </c>
      <c r="D1400" t="s">
        <v>19</v>
      </c>
      <c r="E1400" t="s">
        <v>35</v>
      </c>
      <c r="F1400" t="s">
        <v>121</v>
      </c>
      <c r="G1400">
        <v>5</v>
      </c>
      <c r="H1400">
        <v>9994.05</v>
      </c>
      <c r="I1400">
        <v>0.1</v>
      </c>
      <c r="J1400">
        <v>44973.22</v>
      </c>
      <c r="K1400">
        <v>4270.57</v>
      </c>
      <c r="L1400">
        <v>4.3</v>
      </c>
      <c r="M1400" s="53">
        <v>45182</v>
      </c>
      <c r="N1400" t="s">
        <v>30</v>
      </c>
      <c r="O1400" t="s">
        <v>73</v>
      </c>
      <c r="P1400" s="54">
        <v>0.0949580661558145</v>
      </c>
    </row>
    <row r="1401" spans="1:16">
      <c r="A1401" t="s">
        <v>3515</v>
      </c>
      <c r="B1401" t="s">
        <v>69</v>
      </c>
      <c r="C1401" t="s">
        <v>3516</v>
      </c>
      <c r="D1401" t="s">
        <v>27</v>
      </c>
      <c r="E1401" t="s">
        <v>117</v>
      </c>
      <c r="F1401" t="s">
        <v>225</v>
      </c>
      <c r="G1401">
        <v>2</v>
      </c>
      <c r="H1401">
        <v>16736.39</v>
      </c>
      <c r="I1401">
        <v>0.15</v>
      </c>
      <c r="J1401">
        <v>28451.86</v>
      </c>
      <c r="K1401">
        <v>4848.82</v>
      </c>
      <c r="L1401">
        <v>3.4</v>
      </c>
      <c r="M1401" s="53">
        <v>44930</v>
      </c>
      <c r="N1401" t="s">
        <v>30</v>
      </c>
      <c r="O1401" t="s">
        <v>44</v>
      </c>
      <c r="P1401" s="54">
        <v>0.170421898603466</v>
      </c>
    </row>
    <row r="1402" spans="1:16">
      <c r="A1402" t="s">
        <v>3517</v>
      </c>
      <c r="B1402" t="s">
        <v>3518</v>
      </c>
      <c r="C1402" t="s">
        <v>3519</v>
      </c>
      <c r="D1402" t="s">
        <v>27</v>
      </c>
      <c r="E1402" t="s">
        <v>233</v>
      </c>
      <c r="F1402" t="s">
        <v>234</v>
      </c>
      <c r="G1402">
        <v>3</v>
      </c>
      <c r="H1402">
        <v>602.28</v>
      </c>
      <c r="I1402">
        <v>0</v>
      </c>
      <c r="J1402">
        <v>1806.84</v>
      </c>
      <c r="K1402">
        <v>403.35</v>
      </c>
      <c r="L1402">
        <v>2.9</v>
      </c>
      <c r="M1402" s="53">
        <v>45291</v>
      </c>
      <c r="N1402" t="s">
        <v>56</v>
      </c>
      <c r="O1402" t="s">
        <v>23</v>
      </c>
      <c r="P1402" s="54">
        <v>0.223235040180647</v>
      </c>
    </row>
    <row r="1403" spans="1:16">
      <c r="A1403" t="s">
        <v>3520</v>
      </c>
      <c r="B1403" t="s">
        <v>25</v>
      </c>
      <c r="C1403" t="s">
        <v>3521</v>
      </c>
      <c r="D1403" t="s">
        <v>19</v>
      </c>
      <c r="E1403" t="s">
        <v>35</v>
      </c>
      <c r="F1403" t="s">
        <v>245</v>
      </c>
      <c r="G1403">
        <v>2</v>
      </c>
      <c r="H1403">
        <v>5459.45</v>
      </c>
      <c r="I1403">
        <v>0.1</v>
      </c>
      <c r="J1403">
        <v>9827.01</v>
      </c>
      <c r="K1403">
        <v>1277.07</v>
      </c>
      <c r="L1403">
        <v>3.2</v>
      </c>
      <c r="M1403" s="53">
        <v>45492</v>
      </c>
      <c r="N1403" t="s">
        <v>43</v>
      </c>
      <c r="O1403" t="s">
        <v>57</v>
      </c>
      <c r="P1403" s="54">
        <v>0.129955093156514</v>
      </c>
    </row>
    <row r="1404" spans="1:16">
      <c r="A1404" t="s">
        <v>3522</v>
      </c>
      <c r="B1404" t="s">
        <v>2123</v>
      </c>
      <c r="C1404" t="s">
        <v>3523</v>
      </c>
      <c r="D1404" t="s">
        <v>53</v>
      </c>
      <c r="E1404" t="s">
        <v>100</v>
      </c>
      <c r="F1404" t="s">
        <v>101</v>
      </c>
      <c r="G1404">
        <v>5</v>
      </c>
      <c r="H1404">
        <v>8552.5</v>
      </c>
      <c r="I1404">
        <v>0.1</v>
      </c>
      <c r="J1404">
        <v>38486.25</v>
      </c>
      <c r="K1404">
        <v>5737.95</v>
      </c>
      <c r="L1404">
        <v>4.9</v>
      </c>
      <c r="M1404" s="53">
        <v>45240</v>
      </c>
      <c r="N1404" t="s">
        <v>30</v>
      </c>
      <c r="O1404" t="s">
        <v>73</v>
      </c>
      <c r="P1404" s="54">
        <v>0.149090909090909</v>
      </c>
    </row>
    <row r="1405" spans="1:16">
      <c r="A1405" t="s">
        <v>3524</v>
      </c>
      <c r="B1405" t="s">
        <v>798</v>
      </c>
      <c r="C1405" t="s">
        <v>3525</v>
      </c>
      <c r="D1405" t="s">
        <v>19</v>
      </c>
      <c r="E1405" t="s">
        <v>129</v>
      </c>
      <c r="F1405" t="s">
        <v>302</v>
      </c>
      <c r="G1405">
        <v>3</v>
      </c>
      <c r="H1405">
        <v>2210.41</v>
      </c>
      <c r="I1405">
        <v>0.1</v>
      </c>
      <c r="J1405">
        <v>5968.11</v>
      </c>
      <c r="K1405">
        <v>641.05</v>
      </c>
      <c r="L1405">
        <v>4.3</v>
      </c>
      <c r="M1405" s="53">
        <v>45629</v>
      </c>
      <c r="N1405" t="s">
        <v>30</v>
      </c>
      <c r="O1405" t="s">
        <v>44</v>
      </c>
      <c r="P1405" s="54">
        <v>0.107412564446701</v>
      </c>
    </row>
    <row r="1406" spans="1:16">
      <c r="A1406" t="s">
        <v>3526</v>
      </c>
      <c r="B1406" t="s">
        <v>630</v>
      </c>
      <c r="C1406" t="s">
        <v>3527</v>
      </c>
      <c r="D1406" t="s">
        <v>19</v>
      </c>
      <c r="E1406" t="s">
        <v>86</v>
      </c>
      <c r="F1406" t="s">
        <v>320</v>
      </c>
      <c r="G1406">
        <v>5</v>
      </c>
      <c r="H1406">
        <v>3947.5</v>
      </c>
      <c r="I1406">
        <v>0</v>
      </c>
      <c r="J1406">
        <v>19737.5</v>
      </c>
      <c r="K1406">
        <v>1399</v>
      </c>
      <c r="L1406">
        <v>2.7</v>
      </c>
      <c r="M1406" s="53">
        <v>45389</v>
      </c>
      <c r="N1406" t="s">
        <v>22</v>
      </c>
      <c r="O1406" t="s">
        <v>57</v>
      </c>
      <c r="P1406" s="54">
        <v>0.070880303989867</v>
      </c>
    </row>
    <row r="1407" spans="1:16">
      <c r="A1407" t="s">
        <v>3528</v>
      </c>
      <c r="B1407" t="s">
        <v>3529</v>
      </c>
      <c r="C1407" t="s">
        <v>441</v>
      </c>
      <c r="D1407" t="s">
        <v>19</v>
      </c>
      <c r="E1407" t="s">
        <v>35</v>
      </c>
      <c r="F1407" t="s">
        <v>121</v>
      </c>
      <c r="G1407">
        <v>2</v>
      </c>
      <c r="H1407">
        <v>4362.87</v>
      </c>
      <c r="I1407">
        <v>0.1</v>
      </c>
      <c r="J1407">
        <v>7853.17</v>
      </c>
      <c r="K1407">
        <v>718.4</v>
      </c>
      <c r="L1407">
        <v>1.9</v>
      </c>
      <c r="M1407" s="53">
        <v>45359</v>
      </c>
      <c r="N1407" t="s">
        <v>22</v>
      </c>
      <c r="O1407" t="s">
        <v>44</v>
      </c>
      <c r="P1407" s="54">
        <v>0.0914789823727234</v>
      </c>
    </row>
    <row r="1408" spans="1:16">
      <c r="A1408" t="s">
        <v>3530</v>
      </c>
      <c r="B1408" t="s">
        <v>1723</v>
      </c>
      <c r="C1408" t="s">
        <v>3531</v>
      </c>
      <c r="D1408" t="s">
        <v>53</v>
      </c>
      <c r="E1408" t="s">
        <v>71</v>
      </c>
      <c r="F1408" t="s">
        <v>406</v>
      </c>
      <c r="G1408">
        <v>4</v>
      </c>
      <c r="H1408">
        <v>186.99</v>
      </c>
      <c r="I1408">
        <v>0.1</v>
      </c>
      <c r="J1408">
        <v>673.16</v>
      </c>
      <c r="K1408">
        <v>58.3</v>
      </c>
      <c r="L1408">
        <v>4.5</v>
      </c>
      <c r="M1408" s="53">
        <v>45002</v>
      </c>
      <c r="N1408" t="s">
        <v>56</v>
      </c>
      <c r="O1408" t="s">
        <v>44</v>
      </c>
      <c r="P1408" s="54">
        <v>0.0866064531463545</v>
      </c>
    </row>
    <row r="1409" spans="1:16">
      <c r="A1409" t="s">
        <v>3532</v>
      </c>
      <c r="B1409" t="s">
        <v>1211</v>
      </c>
      <c r="C1409" t="s">
        <v>3533</v>
      </c>
      <c r="D1409" t="s">
        <v>27</v>
      </c>
      <c r="E1409" t="s">
        <v>233</v>
      </c>
      <c r="F1409" t="s">
        <v>234</v>
      </c>
      <c r="G1409">
        <v>5</v>
      </c>
      <c r="H1409">
        <v>7262.72</v>
      </c>
      <c r="I1409">
        <v>0.2</v>
      </c>
      <c r="J1409">
        <v>29050.88</v>
      </c>
      <c r="K1409">
        <v>4949.32</v>
      </c>
      <c r="L1409">
        <v>3.5</v>
      </c>
      <c r="M1409" s="53">
        <v>45074</v>
      </c>
      <c r="N1409" t="s">
        <v>56</v>
      </c>
      <c r="O1409" t="s">
        <v>44</v>
      </c>
      <c r="P1409" s="54">
        <v>0.170367300405358</v>
      </c>
    </row>
    <row r="1410" spans="1:16">
      <c r="A1410" t="s">
        <v>3534</v>
      </c>
      <c r="B1410" t="s">
        <v>1090</v>
      </c>
      <c r="C1410" t="s">
        <v>3535</v>
      </c>
      <c r="D1410" t="s">
        <v>40</v>
      </c>
      <c r="E1410" t="s">
        <v>262</v>
      </c>
      <c r="F1410" t="s">
        <v>345</v>
      </c>
      <c r="G1410">
        <v>3</v>
      </c>
      <c r="H1410">
        <v>18595.1</v>
      </c>
      <c r="I1410">
        <v>0.1</v>
      </c>
      <c r="J1410">
        <v>50206.77</v>
      </c>
      <c r="K1410">
        <v>4899.65</v>
      </c>
      <c r="L1410">
        <v>4.8</v>
      </c>
      <c r="M1410" s="53">
        <v>45555</v>
      </c>
      <c r="N1410" t="s">
        <v>30</v>
      </c>
      <c r="O1410" t="s">
        <v>44</v>
      </c>
      <c r="P1410" s="54">
        <v>0.0975894286766506</v>
      </c>
    </row>
    <row r="1411" spans="1:16">
      <c r="A1411" t="s">
        <v>3536</v>
      </c>
      <c r="B1411" t="s">
        <v>3537</v>
      </c>
      <c r="C1411" t="s">
        <v>3538</v>
      </c>
      <c r="D1411" t="s">
        <v>40</v>
      </c>
      <c r="E1411" t="s">
        <v>81</v>
      </c>
      <c r="F1411" t="s">
        <v>263</v>
      </c>
      <c r="G1411">
        <v>5</v>
      </c>
      <c r="H1411">
        <v>14321.72</v>
      </c>
      <c r="I1411">
        <v>0</v>
      </c>
      <c r="J1411">
        <v>71608.6</v>
      </c>
      <c r="K1411">
        <v>4133.78</v>
      </c>
      <c r="L1411">
        <v>3.6</v>
      </c>
      <c r="M1411" s="53">
        <v>45192</v>
      </c>
      <c r="N1411" t="s">
        <v>22</v>
      </c>
      <c r="O1411" t="s">
        <v>73</v>
      </c>
      <c r="P1411" s="54">
        <v>0.0577274238010518</v>
      </c>
    </row>
    <row r="1412" spans="1:16">
      <c r="A1412" t="s">
        <v>3539</v>
      </c>
      <c r="B1412" t="s">
        <v>2663</v>
      </c>
      <c r="C1412" t="s">
        <v>3540</v>
      </c>
      <c r="D1412" t="s">
        <v>53</v>
      </c>
      <c r="E1412" t="s">
        <v>100</v>
      </c>
      <c r="F1412" t="s">
        <v>229</v>
      </c>
      <c r="G1412">
        <v>2</v>
      </c>
      <c r="H1412">
        <v>5214.95</v>
      </c>
      <c r="I1412">
        <v>0</v>
      </c>
      <c r="J1412">
        <v>10429.9</v>
      </c>
      <c r="K1412">
        <v>798.22</v>
      </c>
      <c r="L1412">
        <v>3.2</v>
      </c>
      <c r="M1412" s="53">
        <v>45338</v>
      </c>
      <c r="N1412" t="s">
        <v>43</v>
      </c>
      <c r="O1412" t="s">
        <v>44</v>
      </c>
      <c r="P1412" s="54">
        <v>0.0765318938820123</v>
      </c>
    </row>
    <row r="1413" spans="1:16">
      <c r="A1413" t="s">
        <v>3541</v>
      </c>
      <c r="B1413" t="s">
        <v>331</v>
      </c>
      <c r="C1413" t="s">
        <v>3542</v>
      </c>
      <c r="D1413" t="s">
        <v>27</v>
      </c>
      <c r="E1413" t="s">
        <v>48</v>
      </c>
      <c r="F1413" t="s">
        <v>583</v>
      </c>
      <c r="G1413">
        <v>3</v>
      </c>
      <c r="H1413">
        <v>2617.17</v>
      </c>
      <c r="I1413">
        <v>0</v>
      </c>
      <c r="J1413">
        <v>7851.51</v>
      </c>
      <c r="K1413">
        <v>1083.83</v>
      </c>
      <c r="L1413">
        <v>4</v>
      </c>
      <c r="M1413" s="53">
        <v>45543</v>
      </c>
      <c r="N1413" t="s">
        <v>22</v>
      </c>
      <c r="O1413" t="s">
        <v>31</v>
      </c>
      <c r="P1413" s="54">
        <v>0.138040962821164</v>
      </c>
    </row>
    <row r="1414" spans="1:16">
      <c r="A1414" t="s">
        <v>3543</v>
      </c>
      <c r="B1414" t="s">
        <v>627</v>
      </c>
      <c r="C1414" t="s">
        <v>3544</v>
      </c>
      <c r="D1414" t="s">
        <v>40</v>
      </c>
      <c r="E1414" t="s">
        <v>41</v>
      </c>
      <c r="F1414" t="s">
        <v>154</v>
      </c>
      <c r="G1414">
        <v>5</v>
      </c>
      <c r="H1414">
        <v>19725.29</v>
      </c>
      <c r="I1414">
        <v>0.1</v>
      </c>
      <c r="J1414">
        <v>88763.81</v>
      </c>
      <c r="K1414">
        <v>7624.45</v>
      </c>
      <c r="L1414">
        <v>1.4</v>
      </c>
      <c r="M1414" s="53">
        <v>45428</v>
      </c>
      <c r="N1414" t="s">
        <v>22</v>
      </c>
      <c r="O1414" t="s">
        <v>44</v>
      </c>
      <c r="P1414" s="54">
        <v>0.0858959298840372</v>
      </c>
    </row>
    <row r="1415" spans="1:16">
      <c r="A1415" t="s">
        <v>3545</v>
      </c>
      <c r="B1415" t="s">
        <v>1371</v>
      </c>
      <c r="C1415" t="s">
        <v>3546</v>
      </c>
      <c r="D1415" t="s">
        <v>27</v>
      </c>
      <c r="E1415" t="s">
        <v>48</v>
      </c>
      <c r="F1415" t="s">
        <v>77</v>
      </c>
      <c r="G1415">
        <v>4</v>
      </c>
      <c r="H1415">
        <v>9517.59</v>
      </c>
      <c r="I1415">
        <v>0.1</v>
      </c>
      <c r="J1415">
        <v>34263.32</v>
      </c>
      <c r="K1415">
        <v>8051.91</v>
      </c>
      <c r="L1415">
        <v>4.2</v>
      </c>
      <c r="M1415" s="53">
        <v>45516</v>
      </c>
      <c r="N1415" t="s">
        <v>43</v>
      </c>
      <c r="O1415" t="s">
        <v>73</v>
      </c>
      <c r="P1415" s="54">
        <v>0.235000869734748</v>
      </c>
    </row>
    <row r="1416" spans="1:16">
      <c r="A1416" t="s">
        <v>3547</v>
      </c>
      <c r="B1416" t="s">
        <v>2430</v>
      </c>
      <c r="C1416" t="s">
        <v>3548</v>
      </c>
      <c r="D1416" t="s">
        <v>27</v>
      </c>
      <c r="E1416" t="s">
        <v>117</v>
      </c>
      <c r="F1416" t="s">
        <v>225</v>
      </c>
      <c r="G1416">
        <v>2</v>
      </c>
      <c r="H1416">
        <v>18793.16</v>
      </c>
      <c r="I1416">
        <v>0.1</v>
      </c>
      <c r="J1416">
        <v>33827.69</v>
      </c>
      <c r="K1416">
        <v>6921.05</v>
      </c>
      <c r="L1416">
        <v>1.2</v>
      </c>
      <c r="M1416" s="53">
        <v>45245</v>
      </c>
      <c r="N1416" t="s">
        <v>22</v>
      </c>
      <c r="O1416" t="s">
        <v>57</v>
      </c>
      <c r="P1416" s="54">
        <v>0.204597180593768</v>
      </c>
    </row>
    <row r="1417" spans="1:16">
      <c r="A1417" t="s">
        <v>3549</v>
      </c>
      <c r="B1417" t="s">
        <v>2947</v>
      </c>
      <c r="C1417" t="s">
        <v>3550</v>
      </c>
      <c r="D1417" t="s">
        <v>19</v>
      </c>
      <c r="E1417" t="s">
        <v>35</v>
      </c>
      <c r="F1417" t="s">
        <v>215</v>
      </c>
      <c r="G1417">
        <v>5</v>
      </c>
      <c r="H1417">
        <v>12905.58</v>
      </c>
      <c r="I1417">
        <v>0.2</v>
      </c>
      <c r="J1417">
        <v>51622.32</v>
      </c>
      <c r="K1417">
        <v>6129.13</v>
      </c>
      <c r="L1417">
        <v>2.8</v>
      </c>
      <c r="M1417" s="53">
        <v>45598</v>
      </c>
      <c r="N1417" t="s">
        <v>30</v>
      </c>
      <c r="O1417" t="s">
        <v>73</v>
      </c>
      <c r="P1417" s="54">
        <v>0.118730231419277</v>
      </c>
    </row>
    <row r="1418" spans="1:16">
      <c r="A1418" t="s">
        <v>3551</v>
      </c>
      <c r="B1418" t="s">
        <v>1854</v>
      </c>
      <c r="C1418" t="s">
        <v>3552</v>
      </c>
      <c r="D1418" t="s">
        <v>27</v>
      </c>
      <c r="E1418" t="s">
        <v>233</v>
      </c>
      <c r="F1418" t="s">
        <v>606</v>
      </c>
      <c r="G1418">
        <v>4</v>
      </c>
      <c r="H1418">
        <v>13816.65</v>
      </c>
      <c r="I1418">
        <v>0.1</v>
      </c>
      <c r="J1418">
        <v>49739.94</v>
      </c>
      <c r="K1418">
        <v>11033.56</v>
      </c>
      <c r="L1418">
        <v>4.8</v>
      </c>
      <c r="M1418" s="53">
        <v>45077</v>
      </c>
      <c r="N1418" t="s">
        <v>43</v>
      </c>
      <c r="O1418" t="s">
        <v>23</v>
      </c>
      <c r="P1418" s="54">
        <v>0.221824955960944</v>
      </c>
    </row>
    <row r="1419" spans="1:16">
      <c r="A1419" t="s">
        <v>3553</v>
      </c>
      <c r="B1419" t="s">
        <v>334</v>
      </c>
      <c r="C1419" t="s">
        <v>3554</v>
      </c>
      <c r="D1419" t="s">
        <v>27</v>
      </c>
      <c r="E1419" t="s">
        <v>28</v>
      </c>
      <c r="F1419" t="s">
        <v>29</v>
      </c>
      <c r="G1419">
        <v>4</v>
      </c>
      <c r="H1419">
        <v>5163.94</v>
      </c>
      <c r="I1419">
        <v>0.15</v>
      </c>
      <c r="J1419">
        <v>17557.4</v>
      </c>
      <c r="K1419">
        <v>3245.44</v>
      </c>
      <c r="L1419">
        <v>2.3</v>
      </c>
      <c r="M1419" s="53">
        <v>45636</v>
      </c>
      <c r="N1419" t="s">
        <v>56</v>
      </c>
      <c r="O1419" t="s">
        <v>57</v>
      </c>
      <c r="P1419" s="54">
        <v>0.184847414765284</v>
      </c>
    </row>
    <row r="1420" spans="1:16">
      <c r="A1420" t="s">
        <v>3555</v>
      </c>
      <c r="B1420" t="s">
        <v>1312</v>
      </c>
      <c r="C1420" t="s">
        <v>3556</v>
      </c>
      <c r="D1420" t="s">
        <v>27</v>
      </c>
      <c r="E1420" t="s">
        <v>48</v>
      </c>
      <c r="F1420" t="s">
        <v>583</v>
      </c>
      <c r="G1420">
        <v>2</v>
      </c>
      <c r="H1420">
        <v>2125.05</v>
      </c>
      <c r="I1420">
        <v>0</v>
      </c>
      <c r="J1420">
        <v>4250.1</v>
      </c>
      <c r="K1420">
        <v>946.29</v>
      </c>
      <c r="L1420">
        <v>1.6</v>
      </c>
      <c r="M1420" s="53">
        <v>45057</v>
      </c>
      <c r="N1420" t="s">
        <v>56</v>
      </c>
      <c r="O1420" t="s">
        <v>31</v>
      </c>
      <c r="P1420" s="54">
        <v>0.222651231735724</v>
      </c>
    </row>
    <row r="1421" spans="1:16">
      <c r="A1421" t="s">
        <v>3557</v>
      </c>
      <c r="B1421" t="s">
        <v>1628</v>
      </c>
      <c r="C1421" t="s">
        <v>3558</v>
      </c>
      <c r="D1421" t="s">
        <v>53</v>
      </c>
      <c r="E1421" t="s">
        <v>95</v>
      </c>
      <c r="F1421" t="s">
        <v>271</v>
      </c>
      <c r="G1421">
        <v>4</v>
      </c>
      <c r="H1421">
        <v>19921.91</v>
      </c>
      <c r="I1421">
        <v>0.15</v>
      </c>
      <c r="J1421">
        <v>67734.49</v>
      </c>
      <c r="K1421">
        <v>11681.08</v>
      </c>
      <c r="L1421">
        <v>4.7</v>
      </c>
      <c r="M1421" s="53">
        <v>45426</v>
      </c>
      <c r="N1421" t="s">
        <v>22</v>
      </c>
      <c r="O1421" t="s">
        <v>31</v>
      </c>
      <c r="P1421" s="54">
        <v>0.172453944807143</v>
      </c>
    </row>
    <row r="1422" spans="1:16">
      <c r="A1422" t="s">
        <v>3559</v>
      </c>
      <c r="B1422" t="s">
        <v>3560</v>
      </c>
      <c r="C1422" t="s">
        <v>1817</v>
      </c>
      <c r="D1422" t="s">
        <v>40</v>
      </c>
      <c r="E1422" t="s">
        <v>174</v>
      </c>
      <c r="F1422" t="s">
        <v>313</v>
      </c>
      <c r="G1422">
        <v>3</v>
      </c>
      <c r="H1422">
        <v>14702.6</v>
      </c>
      <c r="I1422">
        <v>0.1</v>
      </c>
      <c r="J1422">
        <v>39697.02</v>
      </c>
      <c r="K1422">
        <v>3389.85</v>
      </c>
      <c r="L1422">
        <v>4.8</v>
      </c>
      <c r="M1422" s="53">
        <v>45238</v>
      </c>
      <c r="N1422" t="s">
        <v>22</v>
      </c>
      <c r="O1422" t="s">
        <v>23</v>
      </c>
      <c r="P1422" s="54">
        <v>0.0853930597309319</v>
      </c>
    </row>
    <row r="1423" spans="1:16">
      <c r="A1423" t="s">
        <v>3561</v>
      </c>
      <c r="B1423" t="s">
        <v>2430</v>
      </c>
      <c r="C1423" t="s">
        <v>3562</v>
      </c>
      <c r="D1423" t="s">
        <v>19</v>
      </c>
      <c r="E1423" t="s">
        <v>129</v>
      </c>
      <c r="F1423" t="s">
        <v>302</v>
      </c>
      <c r="G1423">
        <v>5</v>
      </c>
      <c r="H1423">
        <v>10015.11</v>
      </c>
      <c r="I1423">
        <v>0.05</v>
      </c>
      <c r="J1423">
        <v>47571.77</v>
      </c>
      <c r="K1423">
        <v>2995.98</v>
      </c>
      <c r="L1423">
        <v>1.6</v>
      </c>
      <c r="M1423" s="53">
        <v>45383</v>
      </c>
      <c r="N1423" t="s">
        <v>56</v>
      </c>
      <c r="O1423" t="s">
        <v>73</v>
      </c>
      <c r="P1423" s="54">
        <v>0.0629781065535295</v>
      </c>
    </row>
    <row r="1424" spans="1:16">
      <c r="A1424" t="s">
        <v>3563</v>
      </c>
      <c r="B1424" t="s">
        <v>685</v>
      </c>
      <c r="C1424" t="s">
        <v>3564</v>
      </c>
      <c r="D1424" t="s">
        <v>19</v>
      </c>
      <c r="E1424" t="s">
        <v>129</v>
      </c>
      <c r="F1424" t="s">
        <v>320</v>
      </c>
      <c r="G1424">
        <v>1</v>
      </c>
      <c r="H1424">
        <v>364.43</v>
      </c>
      <c r="I1424">
        <v>0.15</v>
      </c>
      <c r="J1424">
        <v>309.77</v>
      </c>
      <c r="K1424">
        <v>27.21</v>
      </c>
      <c r="L1424">
        <v>2.7</v>
      </c>
      <c r="M1424" s="53">
        <v>45358</v>
      </c>
      <c r="N1424" t="s">
        <v>22</v>
      </c>
      <c r="O1424" t="s">
        <v>44</v>
      </c>
      <c r="P1424" s="54">
        <v>0.0878393646899313</v>
      </c>
    </row>
    <row r="1425" spans="1:16">
      <c r="A1425" t="s">
        <v>3565</v>
      </c>
      <c r="B1425" t="s">
        <v>3566</v>
      </c>
      <c r="C1425" t="s">
        <v>3567</v>
      </c>
      <c r="D1425" t="s">
        <v>53</v>
      </c>
      <c r="E1425" t="s">
        <v>100</v>
      </c>
      <c r="F1425" t="s">
        <v>229</v>
      </c>
      <c r="G1425">
        <v>3</v>
      </c>
      <c r="H1425">
        <v>16742.17</v>
      </c>
      <c r="I1425">
        <v>0.15</v>
      </c>
      <c r="J1425">
        <v>42692.53</v>
      </c>
      <c r="K1425">
        <v>2660.57</v>
      </c>
      <c r="L1425">
        <v>2</v>
      </c>
      <c r="M1425" s="53">
        <v>45115</v>
      </c>
      <c r="N1425" t="s">
        <v>56</v>
      </c>
      <c r="O1425" t="s">
        <v>31</v>
      </c>
      <c r="P1425" s="54">
        <v>0.0623193331479769</v>
      </c>
    </row>
    <row r="1426" spans="1:16">
      <c r="A1426" t="s">
        <v>3568</v>
      </c>
      <c r="B1426" t="s">
        <v>2131</v>
      </c>
      <c r="C1426" t="s">
        <v>3569</v>
      </c>
      <c r="D1426" t="s">
        <v>40</v>
      </c>
      <c r="E1426" t="s">
        <v>262</v>
      </c>
      <c r="F1426" t="s">
        <v>773</v>
      </c>
      <c r="G1426">
        <v>2</v>
      </c>
      <c r="H1426">
        <v>12273.18</v>
      </c>
      <c r="I1426">
        <v>0.1</v>
      </c>
      <c r="J1426">
        <v>22091.72</v>
      </c>
      <c r="K1426">
        <v>3753.63</v>
      </c>
      <c r="L1426">
        <v>1.8</v>
      </c>
      <c r="M1426" s="53">
        <v>45322</v>
      </c>
      <c r="N1426" t="s">
        <v>56</v>
      </c>
      <c r="O1426" t="s">
        <v>23</v>
      </c>
      <c r="P1426" s="54">
        <v>0.169911170338932</v>
      </c>
    </row>
    <row r="1427" spans="1:16">
      <c r="A1427" t="s">
        <v>3570</v>
      </c>
      <c r="B1427" t="s">
        <v>1608</v>
      </c>
      <c r="C1427" t="s">
        <v>3571</v>
      </c>
      <c r="D1427" t="s">
        <v>27</v>
      </c>
      <c r="E1427" t="s">
        <v>117</v>
      </c>
      <c r="F1427" t="s">
        <v>192</v>
      </c>
      <c r="G1427">
        <v>3</v>
      </c>
      <c r="H1427">
        <v>15724.55</v>
      </c>
      <c r="I1427">
        <v>0.05</v>
      </c>
      <c r="J1427">
        <v>44814.97</v>
      </c>
      <c r="K1427">
        <v>7472.5</v>
      </c>
      <c r="L1427">
        <v>2.5</v>
      </c>
      <c r="M1427" s="53">
        <v>45134</v>
      </c>
      <c r="N1427" t="s">
        <v>22</v>
      </c>
      <c r="O1427" t="s">
        <v>44</v>
      </c>
      <c r="P1427" s="54">
        <v>0.166741158144254</v>
      </c>
    </row>
    <row r="1428" spans="1:16">
      <c r="A1428" t="s">
        <v>3572</v>
      </c>
      <c r="B1428" t="s">
        <v>3573</v>
      </c>
      <c r="C1428" t="s">
        <v>3574</v>
      </c>
      <c r="D1428" t="s">
        <v>27</v>
      </c>
      <c r="E1428" t="s">
        <v>117</v>
      </c>
      <c r="F1428" t="s">
        <v>192</v>
      </c>
      <c r="G1428">
        <v>1</v>
      </c>
      <c r="H1428">
        <v>15443.19</v>
      </c>
      <c r="I1428">
        <v>0.05</v>
      </c>
      <c r="J1428">
        <v>14671.03</v>
      </c>
      <c r="K1428">
        <v>2880.98</v>
      </c>
      <c r="L1428">
        <v>1.5</v>
      </c>
      <c r="M1428" s="53">
        <v>45451</v>
      </c>
      <c r="N1428" t="s">
        <v>30</v>
      </c>
      <c r="O1428" t="s">
        <v>23</v>
      </c>
      <c r="P1428" s="54">
        <v>0.19637203386538</v>
      </c>
    </row>
    <row r="1429" spans="1:16">
      <c r="A1429" t="s">
        <v>3575</v>
      </c>
      <c r="B1429" t="s">
        <v>3576</v>
      </c>
      <c r="C1429" t="s">
        <v>3577</v>
      </c>
      <c r="D1429" t="s">
        <v>27</v>
      </c>
      <c r="E1429" t="s">
        <v>117</v>
      </c>
      <c r="F1429" t="s">
        <v>505</v>
      </c>
      <c r="G1429">
        <v>5</v>
      </c>
      <c r="H1429">
        <v>19942.06</v>
      </c>
      <c r="I1429">
        <v>0.1</v>
      </c>
      <c r="J1429">
        <v>89739.27</v>
      </c>
      <c r="K1429">
        <v>22165.93</v>
      </c>
      <c r="L1429">
        <v>3.1</v>
      </c>
      <c r="M1429" s="53">
        <v>45267</v>
      </c>
      <c r="N1429" t="s">
        <v>22</v>
      </c>
      <c r="O1429" t="s">
        <v>73</v>
      </c>
      <c r="P1429" s="54">
        <v>0.247003680774314</v>
      </c>
    </row>
    <row r="1430" spans="1:16">
      <c r="A1430" t="s">
        <v>3578</v>
      </c>
      <c r="B1430" t="s">
        <v>3579</v>
      </c>
      <c r="C1430" t="s">
        <v>3580</v>
      </c>
      <c r="D1430" t="s">
        <v>27</v>
      </c>
      <c r="E1430" t="s">
        <v>28</v>
      </c>
      <c r="F1430" t="s">
        <v>225</v>
      </c>
      <c r="G1430">
        <v>1</v>
      </c>
      <c r="H1430">
        <v>19305.49</v>
      </c>
      <c r="I1430">
        <v>0.05</v>
      </c>
      <c r="J1430">
        <v>18340.22</v>
      </c>
      <c r="K1430">
        <v>2385.22</v>
      </c>
      <c r="L1430">
        <v>3.9</v>
      </c>
      <c r="M1430" s="53">
        <v>45110</v>
      </c>
      <c r="N1430" t="s">
        <v>56</v>
      </c>
      <c r="O1430" t="s">
        <v>23</v>
      </c>
      <c r="P1430" s="54">
        <v>0.130054056058215</v>
      </c>
    </row>
    <row r="1431" spans="1:16">
      <c r="A1431" t="s">
        <v>3581</v>
      </c>
      <c r="B1431" t="s">
        <v>340</v>
      </c>
      <c r="C1431" t="s">
        <v>3582</v>
      </c>
      <c r="D1431" t="s">
        <v>53</v>
      </c>
      <c r="E1431" t="s">
        <v>95</v>
      </c>
      <c r="F1431" t="s">
        <v>96</v>
      </c>
      <c r="G1431">
        <v>3</v>
      </c>
      <c r="H1431">
        <v>5093.09</v>
      </c>
      <c r="I1431">
        <v>0</v>
      </c>
      <c r="J1431">
        <v>15279.27</v>
      </c>
      <c r="K1431">
        <v>2542.71</v>
      </c>
      <c r="L1431">
        <v>1.7</v>
      </c>
      <c r="M1431" s="53">
        <v>44986</v>
      </c>
      <c r="N1431" t="s">
        <v>56</v>
      </c>
      <c r="O1431" t="s">
        <v>57</v>
      </c>
      <c r="P1431" s="54">
        <v>0.166415673000084</v>
      </c>
    </row>
    <row r="1432" spans="1:16">
      <c r="A1432" t="s">
        <v>3583</v>
      </c>
      <c r="B1432" t="s">
        <v>3584</v>
      </c>
      <c r="C1432" t="s">
        <v>3585</v>
      </c>
      <c r="D1432" t="s">
        <v>53</v>
      </c>
      <c r="E1432" t="s">
        <v>54</v>
      </c>
      <c r="F1432" t="s">
        <v>249</v>
      </c>
      <c r="G1432">
        <v>2</v>
      </c>
      <c r="H1432">
        <v>3280.84</v>
      </c>
      <c r="I1432">
        <v>0.1</v>
      </c>
      <c r="J1432">
        <v>5905.51</v>
      </c>
      <c r="K1432">
        <v>1067.27</v>
      </c>
      <c r="L1432">
        <v>2.7</v>
      </c>
      <c r="M1432" s="53">
        <v>45639</v>
      </c>
      <c r="N1432" t="s">
        <v>22</v>
      </c>
      <c r="O1432" t="s">
        <v>44</v>
      </c>
      <c r="P1432" s="54">
        <v>0.180724442088829</v>
      </c>
    </row>
    <row r="1433" spans="1:16">
      <c r="A1433" t="s">
        <v>3586</v>
      </c>
      <c r="B1433" t="s">
        <v>889</v>
      </c>
      <c r="C1433" t="s">
        <v>3587</v>
      </c>
      <c r="D1433" t="s">
        <v>40</v>
      </c>
      <c r="E1433" t="s">
        <v>174</v>
      </c>
      <c r="F1433" t="s">
        <v>313</v>
      </c>
      <c r="G1433">
        <v>5</v>
      </c>
      <c r="H1433">
        <v>279.63</v>
      </c>
      <c r="I1433">
        <v>0.05</v>
      </c>
      <c r="J1433">
        <v>1328.24</v>
      </c>
      <c r="K1433">
        <v>213.02</v>
      </c>
      <c r="L1433">
        <v>4</v>
      </c>
      <c r="M1433" s="53">
        <v>45539</v>
      </c>
      <c r="N1433" t="s">
        <v>56</v>
      </c>
      <c r="O1433" t="s">
        <v>23</v>
      </c>
      <c r="P1433" s="54">
        <v>0.160377642594712</v>
      </c>
    </row>
    <row r="1434" spans="1:16">
      <c r="A1434" t="s">
        <v>3588</v>
      </c>
      <c r="B1434" t="s">
        <v>3187</v>
      </c>
      <c r="C1434" t="s">
        <v>3589</v>
      </c>
      <c r="D1434" t="s">
        <v>53</v>
      </c>
      <c r="E1434" t="s">
        <v>100</v>
      </c>
      <c r="F1434" t="s">
        <v>229</v>
      </c>
      <c r="G1434">
        <v>4</v>
      </c>
      <c r="H1434">
        <v>16696.97</v>
      </c>
      <c r="I1434">
        <v>0.2</v>
      </c>
      <c r="J1434">
        <v>53430.3</v>
      </c>
      <c r="K1434">
        <v>10919.13</v>
      </c>
      <c r="L1434">
        <v>4.1</v>
      </c>
      <c r="M1434" s="53">
        <v>45614</v>
      </c>
      <c r="N1434" t="s">
        <v>22</v>
      </c>
      <c r="O1434" t="s">
        <v>31</v>
      </c>
      <c r="P1434" s="54">
        <v>0.204362131599486</v>
      </c>
    </row>
    <row r="1435" spans="1:16">
      <c r="A1435" t="s">
        <v>3590</v>
      </c>
      <c r="B1435" t="s">
        <v>3370</v>
      </c>
      <c r="C1435" t="s">
        <v>1288</v>
      </c>
      <c r="D1435" t="s">
        <v>19</v>
      </c>
      <c r="E1435" t="s">
        <v>129</v>
      </c>
      <c r="F1435" t="s">
        <v>302</v>
      </c>
      <c r="G1435">
        <v>4</v>
      </c>
      <c r="H1435">
        <v>7331.18</v>
      </c>
      <c r="I1435">
        <v>0</v>
      </c>
      <c r="J1435">
        <v>29324.72</v>
      </c>
      <c r="K1435">
        <v>3109.41</v>
      </c>
      <c r="L1435">
        <v>1.7</v>
      </c>
      <c r="M1435" s="53">
        <v>45050</v>
      </c>
      <c r="N1435" t="s">
        <v>43</v>
      </c>
      <c r="O1435" t="s">
        <v>23</v>
      </c>
      <c r="P1435" s="54">
        <v>0.106033749000843</v>
      </c>
    </row>
    <row r="1436" spans="1:16">
      <c r="A1436" t="s">
        <v>3591</v>
      </c>
      <c r="B1436" t="s">
        <v>526</v>
      </c>
      <c r="C1436" t="s">
        <v>3592</v>
      </c>
      <c r="D1436" t="s">
        <v>19</v>
      </c>
      <c r="E1436" t="s">
        <v>20</v>
      </c>
      <c r="F1436" t="s">
        <v>21</v>
      </c>
      <c r="G1436">
        <v>3</v>
      </c>
      <c r="H1436">
        <v>12829.99</v>
      </c>
      <c r="I1436">
        <v>0.1</v>
      </c>
      <c r="J1436">
        <v>34640.97</v>
      </c>
      <c r="K1436">
        <v>3945.67</v>
      </c>
      <c r="L1436">
        <v>4.3</v>
      </c>
      <c r="M1436" s="53">
        <v>45647</v>
      </c>
      <c r="N1436" t="s">
        <v>22</v>
      </c>
      <c r="O1436" t="s">
        <v>73</v>
      </c>
      <c r="P1436" s="54">
        <v>0.113901833580295</v>
      </c>
    </row>
    <row r="1437" spans="1:16">
      <c r="A1437" t="s">
        <v>3593</v>
      </c>
      <c r="B1437" t="s">
        <v>1161</v>
      </c>
      <c r="C1437" t="s">
        <v>3594</v>
      </c>
      <c r="D1437" t="s">
        <v>53</v>
      </c>
      <c r="E1437" t="s">
        <v>54</v>
      </c>
      <c r="F1437" t="s">
        <v>55</v>
      </c>
      <c r="G1437">
        <v>1</v>
      </c>
      <c r="H1437">
        <v>13625.33</v>
      </c>
      <c r="I1437">
        <v>0.15</v>
      </c>
      <c r="J1437">
        <v>11581.53</v>
      </c>
      <c r="K1437">
        <v>2585.99</v>
      </c>
      <c r="L1437">
        <v>4.7</v>
      </c>
      <c r="M1437" s="53">
        <v>45066</v>
      </c>
      <c r="N1437" t="s">
        <v>43</v>
      </c>
      <c r="O1437" t="s">
        <v>23</v>
      </c>
      <c r="P1437" s="54">
        <v>0.223285697140188</v>
      </c>
    </row>
    <row r="1438" spans="1:16">
      <c r="A1438" t="s">
        <v>3595</v>
      </c>
      <c r="B1438" t="s">
        <v>3596</v>
      </c>
      <c r="C1438" t="s">
        <v>3597</v>
      </c>
      <c r="D1438" t="s">
        <v>27</v>
      </c>
      <c r="E1438" t="s">
        <v>117</v>
      </c>
      <c r="F1438" t="s">
        <v>192</v>
      </c>
      <c r="G1438">
        <v>2</v>
      </c>
      <c r="H1438">
        <v>15368.64</v>
      </c>
      <c r="I1438">
        <v>0.15</v>
      </c>
      <c r="J1438">
        <v>26126.69</v>
      </c>
      <c r="K1438">
        <v>5985.97</v>
      </c>
      <c r="L1438">
        <v>2.3</v>
      </c>
      <c r="M1438" s="53">
        <v>45003</v>
      </c>
      <c r="N1438" t="s">
        <v>30</v>
      </c>
      <c r="O1438" t="s">
        <v>44</v>
      </c>
      <c r="P1438" s="54">
        <v>0.229113217173703</v>
      </c>
    </row>
    <row r="1439" spans="1:16">
      <c r="A1439" t="s">
        <v>3598</v>
      </c>
      <c r="B1439" t="s">
        <v>2984</v>
      </c>
      <c r="C1439" t="s">
        <v>3599</v>
      </c>
      <c r="D1439" t="s">
        <v>19</v>
      </c>
      <c r="E1439" t="s">
        <v>35</v>
      </c>
      <c r="F1439" t="s">
        <v>121</v>
      </c>
      <c r="G1439">
        <v>1</v>
      </c>
      <c r="H1439">
        <v>11807.46</v>
      </c>
      <c r="I1439">
        <v>0.1</v>
      </c>
      <c r="J1439">
        <v>10626.71</v>
      </c>
      <c r="K1439">
        <v>571.78</v>
      </c>
      <c r="L1439">
        <v>4.5</v>
      </c>
      <c r="M1439" s="53">
        <v>45254</v>
      </c>
      <c r="N1439" t="s">
        <v>30</v>
      </c>
      <c r="O1439" t="s">
        <v>44</v>
      </c>
      <c r="P1439" s="54">
        <v>0.0538059286458368</v>
      </c>
    </row>
    <row r="1440" spans="1:16">
      <c r="A1440" t="s">
        <v>3600</v>
      </c>
      <c r="B1440" t="s">
        <v>611</v>
      </c>
      <c r="C1440" t="s">
        <v>3601</v>
      </c>
      <c r="D1440" t="s">
        <v>53</v>
      </c>
      <c r="E1440" t="s">
        <v>71</v>
      </c>
      <c r="F1440" t="s">
        <v>72</v>
      </c>
      <c r="G1440">
        <v>3</v>
      </c>
      <c r="H1440">
        <v>7648.7</v>
      </c>
      <c r="I1440">
        <v>0</v>
      </c>
      <c r="J1440">
        <v>22946.1</v>
      </c>
      <c r="K1440">
        <v>4212.87</v>
      </c>
      <c r="L1440">
        <v>2</v>
      </c>
      <c r="M1440" s="53">
        <v>44983</v>
      </c>
      <c r="N1440" t="s">
        <v>22</v>
      </c>
      <c r="O1440" t="s">
        <v>23</v>
      </c>
      <c r="P1440" s="54">
        <v>0.183598520009936</v>
      </c>
    </row>
    <row r="1441" spans="1:16">
      <c r="A1441" t="s">
        <v>3602</v>
      </c>
      <c r="B1441" t="s">
        <v>850</v>
      </c>
      <c r="C1441" t="s">
        <v>3603</v>
      </c>
      <c r="D1441" t="s">
        <v>27</v>
      </c>
      <c r="E1441" t="s">
        <v>117</v>
      </c>
      <c r="F1441" t="s">
        <v>225</v>
      </c>
      <c r="G1441">
        <v>1</v>
      </c>
      <c r="H1441">
        <v>16247.15</v>
      </c>
      <c r="I1441">
        <v>0.15</v>
      </c>
      <c r="J1441">
        <v>13810.08</v>
      </c>
      <c r="K1441">
        <v>2408.08</v>
      </c>
      <c r="L1441">
        <v>2.9</v>
      </c>
      <c r="M1441" s="53">
        <v>45214</v>
      </c>
      <c r="N1441" t="s">
        <v>22</v>
      </c>
      <c r="O1441" t="s">
        <v>44</v>
      </c>
      <c r="P1441" s="54">
        <v>0.174371183946798</v>
      </c>
    </row>
    <row r="1442" spans="1:16">
      <c r="A1442" t="s">
        <v>3604</v>
      </c>
      <c r="B1442" t="s">
        <v>2427</v>
      </c>
      <c r="C1442" t="s">
        <v>3605</v>
      </c>
      <c r="D1442" t="s">
        <v>53</v>
      </c>
      <c r="E1442" t="s">
        <v>71</v>
      </c>
      <c r="F1442" t="s">
        <v>150</v>
      </c>
      <c r="G1442">
        <v>1</v>
      </c>
      <c r="H1442">
        <v>17781.89</v>
      </c>
      <c r="I1442">
        <v>0.05</v>
      </c>
      <c r="J1442">
        <v>16892.8</v>
      </c>
      <c r="K1442">
        <v>1047.81</v>
      </c>
      <c r="L1442">
        <v>2.8</v>
      </c>
      <c r="M1442" s="53">
        <v>45414</v>
      </c>
      <c r="N1442" t="s">
        <v>22</v>
      </c>
      <c r="O1442" t="s">
        <v>31</v>
      </c>
      <c r="P1442" s="54">
        <v>0.0620270174275431</v>
      </c>
    </row>
    <row r="1443" spans="1:16">
      <c r="A1443" t="s">
        <v>3606</v>
      </c>
      <c r="B1443" t="s">
        <v>1551</v>
      </c>
      <c r="C1443" t="s">
        <v>3607</v>
      </c>
      <c r="D1443" t="s">
        <v>19</v>
      </c>
      <c r="E1443" t="s">
        <v>86</v>
      </c>
      <c r="F1443" t="s">
        <v>320</v>
      </c>
      <c r="G1443">
        <v>3</v>
      </c>
      <c r="H1443">
        <v>12596.86</v>
      </c>
      <c r="I1443">
        <v>0.1</v>
      </c>
      <c r="J1443">
        <v>34011.52</v>
      </c>
      <c r="K1443">
        <v>5081.29</v>
      </c>
      <c r="L1443">
        <v>1.3</v>
      </c>
      <c r="M1443" s="53">
        <v>45147</v>
      </c>
      <c r="N1443" t="s">
        <v>43</v>
      </c>
      <c r="O1443" t="s">
        <v>23</v>
      </c>
      <c r="P1443" s="54">
        <v>0.149399085956758</v>
      </c>
    </row>
    <row r="1444" spans="1:16">
      <c r="A1444" t="s">
        <v>3608</v>
      </c>
      <c r="B1444" t="s">
        <v>3284</v>
      </c>
      <c r="C1444" t="s">
        <v>3609</v>
      </c>
      <c r="D1444" t="s">
        <v>53</v>
      </c>
      <c r="E1444" t="s">
        <v>71</v>
      </c>
      <c r="F1444" t="s">
        <v>225</v>
      </c>
      <c r="G1444">
        <v>5</v>
      </c>
      <c r="H1444">
        <v>2452.23</v>
      </c>
      <c r="I1444">
        <v>0.1</v>
      </c>
      <c r="J1444">
        <v>11035.03</v>
      </c>
      <c r="K1444">
        <v>1571.3</v>
      </c>
      <c r="L1444">
        <v>2.1</v>
      </c>
      <c r="M1444" s="53">
        <v>45545</v>
      </c>
      <c r="N1444" t="s">
        <v>30</v>
      </c>
      <c r="O1444" t="s">
        <v>73</v>
      </c>
      <c r="P1444" s="54">
        <v>0.142392000746713</v>
      </c>
    </row>
    <row r="1445" spans="1:16">
      <c r="A1445" t="s">
        <v>3610</v>
      </c>
      <c r="B1445" t="s">
        <v>285</v>
      </c>
      <c r="C1445" t="s">
        <v>3611</v>
      </c>
      <c r="D1445" t="s">
        <v>53</v>
      </c>
      <c r="E1445" t="s">
        <v>71</v>
      </c>
      <c r="F1445" t="s">
        <v>150</v>
      </c>
      <c r="G1445">
        <v>5</v>
      </c>
      <c r="H1445">
        <v>14176.86</v>
      </c>
      <c r="I1445">
        <v>0.1</v>
      </c>
      <c r="J1445">
        <v>63795.87</v>
      </c>
      <c r="K1445">
        <v>10286.13</v>
      </c>
      <c r="L1445">
        <v>3.1</v>
      </c>
      <c r="M1445" s="53">
        <v>45542</v>
      </c>
      <c r="N1445" t="s">
        <v>22</v>
      </c>
      <c r="O1445" t="s">
        <v>44</v>
      </c>
      <c r="P1445" s="54">
        <v>0.161235045466109</v>
      </c>
    </row>
    <row r="1446" spans="1:16">
      <c r="A1446" t="s">
        <v>3612</v>
      </c>
      <c r="B1446" t="s">
        <v>3087</v>
      </c>
      <c r="C1446" t="s">
        <v>3613</v>
      </c>
      <c r="D1446" t="s">
        <v>53</v>
      </c>
      <c r="E1446" t="s">
        <v>54</v>
      </c>
      <c r="F1446" t="s">
        <v>109</v>
      </c>
      <c r="G1446">
        <v>5</v>
      </c>
      <c r="H1446">
        <v>13118</v>
      </c>
      <c r="I1446">
        <v>0.05</v>
      </c>
      <c r="J1446">
        <v>62310.5</v>
      </c>
      <c r="K1446">
        <v>5147</v>
      </c>
      <c r="L1446">
        <v>2.1</v>
      </c>
      <c r="M1446" s="53">
        <v>45210</v>
      </c>
      <c r="N1446" t="s">
        <v>43</v>
      </c>
      <c r="O1446" t="s">
        <v>31</v>
      </c>
      <c r="P1446" s="54">
        <v>0.0826024506303111</v>
      </c>
    </row>
    <row r="1447" spans="1:16">
      <c r="A1447" t="s">
        <v>3614</v>
      </c>
      <c r="B1447" t="s">
        <v>468</v>
      </c>
      <c r="C1447" t="s">
        <v>3615</v>
      </c>
      <c r="D1447" t="s">
        <v>40</v>
      </c>
      <c r="E1447" t="s">
        <v>81</v>
      </c>
      <c r="F1447" t="s">
        <v>82</v>
      </c>
      <c r="G1447">
        <v>4</v>
      </c>
      <c r="H1447">
        <v>267.19</v>
      </c>
      <c r="I1447">
        <v>0.15</v>
      </c>
      <c r="J1447">
        <v>908.45</v>
      </c>
      <c r="K1447">
        <v>89.7</v>
      </c>
      <c r="L1447">
        <v>2.5</v>
      </c>
      <c r="M1447" s="53">
        <v>45538</v>
      </c>
      <c r="N1447" t="s">
        <v>56</v>
      </c>
      <c r="O1447" t="s">
        <v>44</v>
      </c>
      <c r="P1447" s="54">
        <v>0.0987396114260554</v>
      </c>
    </row>
    <row r="1448" spans="1:16">
      <c r="A1448" t="s">
        <v>3616</v>
      </c>
      <c r="B1448" t="s">
        <v>3007</v>
      </c>
      <c r="C1448" t="s">
        <v>3617</v>
      </c>
      <c r="D1448" t="s">
        <v>53</v>
      </c>
      <c r="E1448" t="s">
        <v>54</v>
      </c>
      <c r="F1448" t="s">
        <v>258</v>
      </c>
      <c r="G1448">
        <v>3</v>
      </c>
      <c r="H1448">
        <v>12378.89</v>
      </c>
      <c r="I1448">
        <v>0.2</v>
      </c>
      <c r="J1448">
        <v>29709.34</v>
      </c>
      <c r="K1448">
        <v>4621.14</v>
      </c>
      <c r="L1448">
        <v>3.2</v>
      </c>
      <c r="M1448" s="53">
        <v>44975</v>
      </c>
      <c r="N1448" t="s">
        <v>30</v>
      </c>
      <c r="O1448" t="s">
        <v>73</v>
      </c>
      <c r="P1448" s="54">
        <v>0.155545023888111</v>
      </c>
    </row>
    <row r="1449" spans="1:16">
      <c r="A1449" t="s">
        <v>3618</v>
      </c>
      <c r="B1449" t="s">
        <v>812</v>
      </c>
      <c r="C1449" t="s">
        <v>3619</v>
      </c>
      <c r="D1449" t="s">
        <v>53</v>
      </c>
      <c r="E1449" t="s">
        <v>71</v>
      </c>
      <c r="F1449" t="s">
        <v>225</v>
      </c>
      <c r="G1449">
        <v>1</v>
      </c>
      <c r="H1449">
        <v>17083.67</v>
      </c>
      <c r="I1449">
        <v>0.05</v>
      </c>
      <c r="J1449">
        <v>16229.49</v>
      </c>
      <c r="K1449">
        <v>3558.09</v>
      </c>
      <c r="L1449">
        <v>3.3</v>
      </c>
      <c r="M1449" s="53">
        <v>45121</v>
      </c>
      <c r="N1449" t="s">
        <v>30</v>
      </c>
      <c r="O1449" t="s">
        <v>44</v>
      </c>
      <c r="P1449" s="54">
        <v>0.219236094295015</v>
      </c>
    </row>
    <row r="1450" spans="1:16">
      <c r="A1450" t="s">
        <v>3620</v>
      </c>
      <c r="B1450" t="s">
        <v>522</v>
      </c>
      <c r="C1450" t="s">
        <v>3621</v>
      </c>
      <c r="D1450" t="s">
        <v>53</v>
      </c>
      <c r="E1450" t="s">
        <v>100</v>
      </c>
      <c r="F1450" t="s">
        <v>271</v>
      </c>
      <c r="G1450">
        <v>4</v>
      </c>
      <c r="H1450">
        <v>3191.27</v>
      </c>
      <c r="I1450">
        <v>0</v>
      </c>
      <c r="J1450">
        <v>12765.08</v>
      </c>
      <c r="K1450">
        <v>1550.59</v>
      </c>
      <c r="L1450">
        <v>1.7</v>
      </c>
      <c r="M1450" s="53">
        <v>45450</v>
      </c>
      <c r="N1450" t="s">
        <v>56</v>
      </c>
      <c r="O1450" t="s">
        <v>23</v>
      </c>
      <c r="P1450" s="54">
        <v>0.121471232456044</v>
      </c>
    </row>
    <row r="1451" spans="1:16">
      <c r="A1451" t="s">
        <v>3622</v>
      </c>
      <c r="B1451" t="s">
        <v>294</v>
      </c>
      <c r="C1451" t="s">
        <v>3623</v>
      </c>
      <c r="D1451" t="s">
        <v>27</v>
      </c>
      <c r="E1451" t="s">
        <v>28</v>
      </c>
      <c r="F1451" t="s">
        <v>29</v>
      </c>
      <c r="G1451">
        <v>4</v>
      </c>
      <c r="H1451">
        <v>9091.85</v>
      </c>
      <c r="I1451">
        <v>0.05</v>
      </c>
      <c r="J1451">
        <v>34549.03</v>
      </c>
      <c r="K1451">
        <v>4328.55</v>
      </c>
      <c r="L1451">
        <v>5</v>
      </c>
      <c r="M1451" s="53">
        <v>45319</v>
      </c>
      <c r="N1451" t="s">
        <v>30</v>
      </c>
      <c r="O1451" t="s">
        <v>31</v>
      </c>
      <c r="P1451" s="54">
        <v>0.125287164357436</v>
      </c>
    </row>
    <row r="1452" spans="1:16">
      <c r="A1452" t="s">
        <v>3624</v>
      </c>
      <c r="B1452" t="s">
        <v>2793</v>
      </c>
      <c r="C1452" t="s">
        <v>3625</v>
      </c>
      <c r="D1452" t="s">
        <v>53</v>
      </c>
      <c r="E1452" t="s">
        <v>71</v>
      </c>
      <c r="F1452" t="s">
        <v>72</v>
      </c>
      <c r="G1452">
        <v>5</v>
      </c>
      <c r="H1452">
        <v>3547.74</v>
      </c>
      <c r="I1452">
        <v>0.15</v>
      </c>
      <c r="J1452">
        <v>15077.89</v>
      </c>
      <c r="K1452">
        <v>3138.06</v>
      </c>
      <c r="L1452">
        <v>1.5</v>
      </c>
      <c r="M1452" s="53">
        <v>45040</v>
      </c>
      <c r="N1452" t="s">
        <v>22</v>
      </c>
      <c r="O1452" t="s">
        <v>23</v>
      </c>
      <c r="P1452" s="54">
        <v>0.208123285154621</v>
      </c>
    </row>
    <row r="1453" spans="1:16">
      <c r="A1453" t="s">
        <v>3626</v>
      </c>
      <c r="B1453" t="s">
        <v>3046</v>
      </c>
      <c r="C1453" t="s">
        <v>3627</v>
      </c>
      <c r="D1453" t="s">
        <v>19</v>
      </c>
      <c r="E1453" t="s">
        <v>129</v>
      </c>
      <c r="F1453" t="s">
        <v>167</v>
      </c>
      <c r="G1453">
        <v>4</v>
      </c>
      <c r="H1453">
        <v>7363.63</v>
      </c>
      <c r="I1453">
        <v>0.2</v>
      </c>
      <c r="J1453">
        <v>23563.62</v>
      </c>
      <c r="K1453">
        <v>3725.91</v>
      </c>
      <c r="L1453">
        <v>1.6</v>
      </c>
      <c r="M1453" s="53">
        <v>45626</v>
      </c>
      <c r="N1453" t="s">
        <v>30</v>
      </c>
      <c r="O1453" t="s">
        <v>57</v>
      </c>
      <c r="P1453" s="54">
        <v>0.158121290362007</v>
      </c>
    </row>
    <row r="1454" spans="1:16">
      <c r="A1454" t="s">
        <v>3628</v>
      </c>
      <c r="B1454" t="s">
        <v>1703</v>
      </c>
      <c r="C1454" t="s">
        <v>3629</v>
      </c>
      <c r="D1454" t="s">
        <v>19</v>
      </c>
      <c r="E1454" t="s">
        <v>20</v>
      </c>
      <c r="F1454" t="s">
        <v>134</v>
      </c>
      <c r="G1454">
        <v>3</v>
      </c>
      <c r="H1454">
        <v>836.66</v>
      </c>
      <c r="I1454">
        <v>0.05</v>
      </c>
      <c r="J1454">
        <v>2384.48</v>
      </c>
      <c r="K1454">
        <v>454.74</v>
      </c>
      <c r="L1454">
        <v>4.8</v>
      </c>
      <c r="M1454" s="53">
        <v>45027</v>
      </c>
      <c r="N1454" t="s">
        <v>30</v>
      </c>
      <c r="O1454" t="s">
        <v>23</v>
      </c>
      <c r="P1454" s="54">
        <v>0.190708246661746</v>
      </c>
    </row>
    <row r="1455" spans="1:16">
      <c r="A1455" t="s">
        <v>3630</v>
      </c>
      <c r="B1455" t="s">
        <v>180</v>
      </c>
      <c r="C1455" t="s">
        <v>3631</v>
      </c>
      <c r="D1455" t="s">
        <v>27</v>
      </c>
      <c r="E1455" t="s">
        <v>117</v>
      </c>
      <c r="F1455" t="s">
        <v>118</v>
      </c>
      <c r="G1455">
        <v>1</v>
      </c>
      <c r="H1455">
        <v>15941.57</v>
      </c>
      <c r="I1455">
        <v>0.15</v>
      </c>
      <c r="J1455">
        <v>13550.33</v>
      </c>
      <c r="K1455">
        <v>1785.06</v>
      </c>
      <c r="L1455">
        <v>4.2</v>
      </c>
      <c r="M1455" s="53">
        <v>44960</v>
      </c>
      <c r="N1455" t="s">
        <v>30</v>
      </c>
      <c r="O1455" t="s">
        <v>31</v>
      </c>
      <c r="P1455" s="54">
        <v>0.131735537068101</v>
      </c>
    </row>
    <row r="1456" spans="1:16">
      <c r="A1456" t="s">
        <v>3632</v>
      </c>
      <c r="B1456" t="s">
        <v>2120</v>
      </c>
      <c r="C1456" t="s">
        <v>3633</v>
      </c>
      <c r="D1456" t="s">
        <v>53</v>
      </c>
      <c r="E1456" t="s">
        <v>71</v>
      </c>
      <c r="F1456" t="s">
        <v>150</v>
      </c>
      <c r="G1456">
        <v>3</v>
      </c>
      <c r="H1456">
        <v>4838.85</v>
      </c>
      <c r="I1456">
        <v>0.05</v>
      </c>
      <c r="J1456">
        <v>13790.72</v>
      </c>
      <c r="K1456">
        <v>1801.95</v>
      </c>
      <c r="L1456">
        <v>3.1</v>
      </c>
      <c r="M1456" s="53">
        <v>45185</v>
      </c>
      <c r="N1456" t="s">
        <v>22</v>
      </c>
      <c r="O1456" t="s">
        <v>44</v>
      </c>
      <c r="P1456" s="54">
        <v>0.130663953731205</v>
      </c>
    </row>
    <row r="1457" spans="1:16">
      <c r="A1457" t="s">
        <v>3634</v>
      </c>
      <c r="B1457" t="s">
        <v>998</v>
      </c>
      <c r="C1457" t="s">
        <v>3635</v>
      </c>
      <c r="D1457" t="s">
        <v>40</v>
      </c>
      <c r="E1457" t="s">
        <v>41</v>
      </c>
      <c r="F1457" t="s">
        <v>154</v>
      </c>
      <c r="G1457">
        <v>4</v>
      </c>
      <c r="H1457">
        <v>16828.94</v>
      </c>
      <c r="I1457">
        <v>0.2</v>
      </c>
      <c r="J1457">
        <v>53852.61</v>
      </c>
      <c r="K1457">
        <v>8366.09</v>
      </c>
      <c r="L1457">
        <v>2.6</v>
      </c>
      <c r="M1457" s="53">
        <v>45198</v>
      </c>
      <c r="N1457" t="s">
        <v>56</v>
      </c>
      <c r="O1457" t="s">
        <v>73</v>
      </c>
      <c r="P1457" s="54">
        <v>0.155351616198361</v>
      </c>
    </row>
    <row r="1458" spans="1:16">
      <c r="A1458" t="s">
        <v>3636</v>
      </c>
      <c r="B1458" t="s">
        <v>1622</v>
      </c>
      <c r="C1458" t="s">
        <v>3637</v>
      </c>
      <c r="D1458" t="s">
        <v>53</v>
      </c>
      <c r="E1458" t="s">
        <v>54</v>
      </c>
      <c r="F1458" t="s">
        <v>249</v>
      </c>
      <c r="G1458">
        <v>3</v>
      </c>
      <c r="H1458">
        <v>9587.37</v>
      </c>
      <c r="I1458">
        <v>0</v>
      </c>
      <c r="J1458">
        <v>28762.11</v>
      </c>
      <c r="K1458">
        <v>2501.26</v>
      </c>
      <c r="L1458">
        <v>1.8</v>
      </c>
      <c r="M1458" s="53">
        <v>44971</v>
      </c>
      <c r="N1458" t="s">
        <v>30</v>
      </c>
      <c r="O1458" t="s">
        <v>73</v>
      </c>
      <c r="P1458" s="54">
        <v>0.0869637171959916</v>
      </c>
    </row>
    <row r="1459" spans="1:16">
      <c r="A1459" t="s">
        <v>3638</v>
      </c>
      <c r="B1459" t="s">
        <v>1185</v>
      </c>
      <c r="C1459" t="s">
        <v>3639</v>
      </c>
      <c r="D1459" t="s">
        <v>27</v>
      </c>
      <c r="E1459" t="s">
        <v>117</v>
      </c>
      <c r="F1459" t="s">
        <v>192</v>
      </c>
      <c r="G1459">
        <v>4</v>
      </c>
      <c r="H1459">
        <v>9797.58</v>
      </c>
      <c r="I1459">
        <v>0.2</v>
      </c>
      <c r="J1459">
        <v>31352.26</v>
      </c>
      <c r="K1459">
        <v>4431.3</v>
      </c>
      <c r="L1459">
        <v>2.5</v>
      </c>
      <c r="M1459" s="53">
        <v>45583</v>
      </c>
      <c r="N1459" t="s">
        <v>22</v>
      </c>
      <c r="O1459" t="s">
        <v>31</v>
      </c>
      <c r="P1459" s="54">
        <v>0.141339093258349</v>
      </c>
    </row>
    <row r="1460" spans="1:16">
      <c r="A1460" t="s">
        <v>3640</v>
      </c>
      <c r="B1460" t="s">
        <v>768</v>
      </c>
      <c r="C1460" t="s">
        <v>851</v>
      </c>
      <c r="D1460" t="s">
        <v>19</v>
      </c>
      <c r="E1460" t="s">
        <v>35</v>
      </c>
      <c r="F1460" t="s">
        <v>215</v>
      </c>
      <c r="G1460">
        <v>2</v>
      </c>
      <c r="H1460">
        <v>15339.58</v>
      </c>
      <c r="I1460">
        <v>0.2</v>
      </c>
      <c r="J1460">
        <v>24543.33</v>
      </c>
      <c r="K1460">
        <v>5015.86</v>
      </c>
      <c r="L1460">
        <v>2.2</v>
      </c>
      <c r="M1460" s="53">
        <v>45084</v>
      </c>
      <c r="N1460" t="s">
        <v>30</v>
      </c>
      <c r="O1460" t="s">
        <v>44</v>
      </c>
      <c r="P1460" s="54">
        <v>0.2043675409979</v>
      </c>
    </row>
    <row r="1461" spans="1:16">
      <c r="A1461" t="s">
        <v>3641</v>
      </c>
      <c r="B1461" t="s">
        <v>127</v>
      </c>
      <c r="C1461" t="s">
        <v>3642</v>
      </c>
      <c r="D1461" t="s">
        <v>53</v>
      </c>
      <c r="E1461" t="s">
        <v>95</v>
      </c>
      <c r="F1461" t="s">
        <v>96</v>
      </c>
      <c r="G1461">
        <v>5</v>
      </c>
      <c r="H1461">
        <v>11635.59</v>
      </c>
      <c r="I1461">
        <v>0</v>
      </c>
      <c r="J1461">
        <v>58177.95</v>
      </c>
      <c r="K1461">
        <v>13224.68</v>
      </c>
      <c r="L1461">
        <v>3</v>
      </c>
      <c r="M1461" s="53">
        <v>45476</v>
      </c>
      <c r="N1461" t="s">
        <v>22</v>
      </c>
      <c r="O1461" t="s">
        <v>57</v>
      </c>
      <c r="P1461" s="54">
        <v>0.227314300349187</v>
      </c>
    </row>
    <row r="1462" spans="1:16">
      <c r="A1462" t="s">
        <v>3643</v>
      </c>
      <c r="B1462" t="s">
        <v>1446</v>
      </c>
      <c r="C1462" t="s">
        <v>3644</v>
      </c>
      <c r="D1462" t="s">
        <v>53</v>
      </c>
      <c r="E1462" t="s">
        <v>95</v>
      </c>
      <c r="F1462" t="s">
        <v>524</v>
      </c>
      <c r="G1462">
        <v>4</v>
      </c>
      <c r="H1462">
        <v>17126.43</v>
      </c>
      <c r="I1462">
        <v>0.2</v>
      </c>
      <c r="J1462">
        <v>54804.58</v>
      </c>
      <c r="K1462">
        <v>5728.3</v>
      </c>
      <c r="L1462">
        <v>4.1</v>
      </c>
      <c r="M1462" s="53">
        <v>45639</v>
      </c>
      <c r="N1462" t="s">
        <v>43</v>
      </c>
      <c r="O1462" t="s">
        <v>44</v>
      </c>
      <c r="P1462" s="54">
        <v>0.104522286276074</v>
      </c>
    </row>
    <row r="1463" spans="1:16">
      <c r="A1463" t="s">
        <v>3645</v>
      </c>
      <c r="B1463" t="s">
        <v>207</v>
      </c>
      <c r="C1463" t="s">
        <v>3646</v>
      </c>
      <c r="D1463" t="s">
        <v>27</v>
      </c>
      <c r="E1463" t="s">
        <v>233</v>
      </c>
      <c r="F1463" t="s">
        <v>606</v>
      </c>
      <c r="G1463">
        <v>4</v>
      </c>
      <c r="H1463">
        <v>15637.84</v>
      </c>
      <c r="I1463">
        <v>0.05</v>
      </c>
      <c r="J1463">
        <v>59423.79</v>
      </c>
      <c r="K1463">
        <v>13447.35</v>
      </c>
      <c r="L1463">
        <v>2.4</v>
      </c>
      <c r="M1463" s="53">
        <v>45158</v>
      </c>
      <c r="N1463" t="s">
        <v>22</v>
      </c>
      <c r="O1463" t="s">
        <v>23</v>
      </c>
      <c r="P1463" s="54">
        <v>0.226295731053169</v>
      </c>
    </row>
    <row r="1464" spans="1:16">
      <c r="A1464" t="s">
        <v>3647</v>
      </c>
      <c r="B1464" t="s">
        <v>2371</v>
      </c>
      <c r="C1464" t="s">
        <v>3648</v>
      </c>
      <c r="D1464" t="s">
        <v>27</v>
      </c>
      <c r="E1464" t="s">
        <v>48</v>
      </c>
      <c r="F1464" t="s">
        <v>49</v>
      </c>
      <c r="G1464">
        <v>2</v>
      </c>
      <c r="H1464">
        <v>2131.18</v>
      </c>
      <c r="I1464">
        <v>0.05</v>
      </c>
      <c r="J1464">
        <v>4049.24</v>
      </c>
      <c r="K1464">
        <v>567.84</v>
      </c>
      <c r="L1464">
        <v>3.8</v>
      </c>
      <c r="M1464" s="53">
        <v>45538</v>
      </c>
      <c r="N1464" t="s">
        <v>56</v>
      </c>
      <c r="O1464" t="s">
        <v>44</v>
      </c>
      <c r="P1464" s="54">
        <v>0.140233722871452</v>
      </c>
    </row>
    <row r="1465" spans="1:16">
      <c r="A1465" t="s">
        <v>3649</v>
      </c>
      <c r="B1465" t="s">
        <v>408</v>
      </c>
      <c r="C1465" t="s">
        <v>3650</v>
      </c>
      <c r="D1465" t="s">
        <v>40</v>
      </c>
      <c r="E1465" t="s">
        <v>174</v>
      </c>
      <c r="F1465" t="s">
        <v>199</v>
      </c>
      <c r="G1465">
        <v>2</v>
      </c>
      <c r="H1465">
        <v>1944.49</v>
      </c>
      <c r="I1465">
        <v>0.15</v>
      </c>
      <c r="J1465">
        <v>3305.63</v>
      </c>
      <c r="K1465">
        <v>756.93</v>
      </c>
      <c r="L1465">
        <v>4.2</v>
      </c>
      <c r="M1465" s="53">
        <v>45412</v>
      </c>
      <c r="N1465" t="s">
        <v>22</v>
      </c>
      <c r="O1465" t="s">
        <v>23</v>
      </c>
      <c r="P1465" s="54">
        <v>0.228982069983634</v>
      </c>
    </row>
    <row r="1466" spans="1:16">
      <c r="A1466" t="s">
        <v>3651</v>
      </c>
      <c r="B1466" t="s">
        <v>2317</v>
      </c>
      <c r="C1466" t="s">
        <v>3652</v>
      </c>
      <c r="D1466" t="s">
        <v>19</v>
      </c>
      <c r="E1466" t="s">
        <v>129</v>
      </c>
      <c r="F1466" t="s">
        <v>130</v>
      </c>
      <c r="G1466">
        <v>4</v>
      </c>
      <c r="H1466">
        <v>4596.87</v>
      </c>
      <c r="I1466">
        <v>0.15</v>
      </c>
      <c r="J1466">
        <v>15629.36</v>
      </c>
      <c r="K1466">
        <v>1212.28</v>
      </c>
      <c r="L1466">
        <v>1.8</v>
      </c>
      <c r="M1466" s="53">
        <v>45379</v>
      </c>
      <c r="N1466" t="s">
        <v>56</v>
      </c>
      <c r="O1466" t="s">
        <v>31</v>
      </c>
      <c r="P1466" s="54">
        <v>0.0775642764642954</v>
      </c>
    </row>
    <row r="1467" spans="1:16">
      <c r="A1467" t="s">
        <v>3653</v>
      </c>
      <c r="B1467" t="s">
        <v>3654</v>
      </c>
      <c r="C1467" t="s">
        <v>3655</v>
      </c>
      <c r="D1467" t="s">
        <v>19</v>
      </c>
      <c r="E1467" t="s">
        <v>129</v>
      </c>
      <c r="F1467" t="s">
        <v>302</v>
      </c>
      <c r="G1467">
        <v>5</v>
      </c>
      <c r="H1467">
        <v>16707.68</v>
      </c>
      <c r="I1467">
        <v>0</v>
      </c>
      <c r="J1467">
        <v>83538.4</v>
      </c>
      <c r="K1467">
        <v>17392.19</v>
      </c>
      <c r="L1467">
        <v>4.4</v>
      </c>
      <c r="M1467" s="53">
        <v>45215</v>
      </c>
      <c r="N1467" t="s">
        <v>56</v>
      </c>
      <c r="O1467" t="s">
        <v>23</v>
      </c>
      <c r="P1467" s="54">
        <v>0.208193956312307</v>
      </c>
    </row>
    <row r="1468" spans="1:16">
      <c r="A1468" t="s">
        <v>3656</v>
      </c>
      <c r="B1468" t="s">
        <v>3657</v>
      </c>
      <c r="C1468" t="s">
        <v>3658</v>
      </c>
      <c r="D1468" t="s">
        <v>19</v>
      </c>
      <c r="E1468" t="s">
        <v>129</v>
      </c>
      <c r="F1468" t="s">
        <v>130</v>
      </c>
      <c r="G1468">
        <v>1</v>
      </c>
      <c r="H1468">
        <v>10932.81</v>
      </c>
      <c r="I1468">
        <v>0.15</v>
      </c>
      <c r="J1468">
        <v>9292.89</v>
      </c>
      <c r="K1468">
        <v>820</v>
      </c>
      <c r="L1468">
        <v>2.1</v>
      </c>
      <c r="M1468" s="53">
        <v>45412</v>
      </c>
      <c r="N1468" t="s">
        <v>30</v>
      </c>
      <c r="O1468" t="s">
        <v>57</v>
      </c>
      <c r="P1468" s="54">
        <v>0.0882395035344226</v>
      </c>
    </row>
    <row r="1469" spans="1:16">
      <c r="A1469" t="s">
        <v>3659</v>
      </c>
      <c r="B1469" t="s">
        <v>2126</v>
      </c>
      <c r="C1469" t="s">
        <v>702</v>
      </c>
      <c r="D1469" t="s">
        <v>19</v>
      </c>
      <c r="E1469" t="s">
        <v>129</v>
      </c>
      <c r="F1469" t="s">
        <v>302</v>
      </c>
      <c r="G1469">
        <v>5</v>
      </c>
      <c r="H1469">
        <v>15024.62</v>
      </c>
      <c r="I1469">
        <v>0.1</v>
      </c>
      <c r="J1469">
        <v>67610.79</v>
      </c>
      <c r="K1469">
        <v>8938.4</v>
      </c>
      <c r="L1469">
        <v>4.3</v>
      </c>
      <c r="M1469" s="53">
        <v>45159</v>
      </c>
      <c r="N1469" t="s">
        <v>22</v>
      </c>
      <c r="O1469" t="s">
        <v>44</v>
      </c>
      <c r="P1469" s="54">
        <v>0.132203750318551</v>
      </c>
    </row>
    <row r="1470" spans="1:16">
      <c r="A1470" t="s">
        <v>3660</v>
      </c>
      <c r="B1470" t="s">
        <v>2112</v>
      </c>
      <c r="C1470" t="s">
        <v>3661</v>
      </c>
      <c r="D1470" t="s">
        <v>27</v>
      </c>
      <c r="E1470" t="s">
        <v>233</v>
      </c>
      <c r="F1470" t="s">
        <v>606</v>
      </c>
      <c r="G1470">
        <v>4</v>
      </c>
      <c r="H1470">
        <v>17609.91</v>
      </c>
      <c r="I1470">
        <v>0</v>
      </c>
      <c r="J1470">
        <v>70439.64</v>
      </c>
      <c r="K1470">
        <v>12961.62</v>
      </c>
      <c r="L1470">
        <v>1.7</v>
      </c>
      <c r="M1470" s="53">
        <v>45431</v>
      </c>
      <c r="N1470" t="s">
        <v>30</v>
      </c>
      <c r="O1470" t="s">
        <v>23</v>
      </c>
      <c r="P1470" s="54">
        <v>0.1840103101038</v>
      </c>
    </row>
    <row r="1471" spans="1:16">
      <c r="A1471" t="s">
        <v>3662</v>
      </c>
      <c r="B1471" t="s">
        <v>549</v>
      </c>
      <c r="C1471" t="s">
        <v>2453</v>
      </c>
      <c r="D1471" t="s">
        <v>19</v>
      </c>
      <c r="E1471" t="s">
        <v>35</v>
      </c>
      <c r="F1471" t="s">
        <v>121</v>
      </c>
      <c r="G1471">
        <v>5</v>
      </c>
      <c r="H1471">
        <v>4935.2</v>
      </c>
      <c r="I1471">
        <v>0.2</v>
      </c>
      <c r="J1471">
        <v>19740.8</v>
      </c>
      <c r="K1471">
        <v>1775.44</v>
      </c>
      <c r="L1471">
        <v>1.1</v>
      </c>
      <c r="M1471" s="53">
        <v>45485</v>
      </c>
      <c r="N1471" t="s">
        <v>56</v>
      </c>
      <c r="O1471" t="s">
        <v>31</v>
      </c>
      <c r="P1471" s="54">
        <v>0.089937591181715</v>
      </c>
    </row>
    <row r="1472" spans="1:16">
      <c r="A1472" t="s">
        <v>3663</v>
      </c>
      <c r="B1472" t="s">
        <v>2592</v>
      </c>
      <c r="C1472" t="s">
        <v>3664</v>
      </c>
      <c r="D1472" t="s">
        <v>53</v>
      </c>
      <c r="E1472" t="s">
        <v>100</v>
      </c>
      <c r="F1472" t="s">
        <v>271</v>
      </c>
      <c r="G1472">
        <v>4</v>
      </c>
      <c r="H1472">
        <v>4644.55</v>
      </c>
      <c r="I1472">
        <v>0.15</v>
      </c>
      <c r="J1472">
        <v>15791.47</v>
      </c>
      <c r="K1472">
        <v>3142.07</v>
      </c>
      <c r="L1472">
        <v>2.7</v>
      </c>
      <c r="M1472" s="53">
        <v>45297</v>
      </c>
      <c r="N1472" t="s">
        <v>56</v>
      </c>
      <c r="O1472" t="s">
        <v>57</v>
      </c>
      <c r="P1472" s="54">
        <v>0.198972609896355</v>
      </c>
    </row>
    <row r="1473" spans="1:16">
      <c r="A1473" t="s">
        <v>3665</v>
      </c>
      <c r="B1473" t="s">
        <v>1012</v>
      </c>
      <c r="C1473" t="s">
        <v>3666</v>
      </c>
      <c r="D1473" t="s">
        <v>40</v>
      </c>
      <c r="E1473" t="s">
        <v>81</v>
      </c>
      <c r="F1473" t="s">
        <v>241</v>
      </c>
      <c r="G1473">
        <v>1</v>
      </c>
      <c r="H1473">
        <v>8001.9</v>
      </c>
      <c r="I1473">
        <v>0.2</v>
      </c>
      <c r="J1473">
        <v>6401.52</v>
      </c>
      <c r="K1473">
        <v>846.61</v>
      </c>
      <c r="L1473">
        <v>3.2</v>
      </c>
      <c r="M1473" s="53">
        <v>45156</v>
      </c>
      <c r="N1473" t="s">
        <v>56</v>
      </c>
      <c r="O1473" t="s">
        <v>23</v>
      </c>
      <c r="P1473" s="54">
        <v>0.132251402791837</v>
      </c>
    </row>
    <row r="1474" spans="1:16">
      <c r="A1474" t="s">
        <v>3667</v>
      </c>
      <c r="B1474" t="s">
        <v>3137</v>
      </c>
      <c r="C1474" t="s">
        <v>3668</v>
      </c>
      <c r="D1474" t="s">
        <v>27</v>
      </c>
      <c r="E1474" t="s">
        <v>117</v>
      </c>
      <c r="F1474" t="s">
        <v>225</v>
      </c>
      <c r="G1474">
        <v>2</v>
      </c>
      <c r="H1474">
        <v>14342.94</v>
      </c>
      <c r="I1474">
        <v>0.05</v>
      </c>
      <c r="J1474">
        <v>27251.59</v>
      </c>
      <c r="K1474">
        <v>4787.54</v>
      </c>
      <c r="L1474">
        <v>4.1</v>
      </c>
      <c r="M1474" s="53">
        <v>45590</v>
      </c>
      <c r="N1474" t="s">
        <v>43</v>
      </c>
      <c r="O1474" t="s">
        <v>44</v>
      </c>
      <c r="P1474" s="54">
        <v>0.175679290639555</v>
      </c>
    </row>
    <row r="1475" spans="1:16">
      <c r="A1475" t="s">
        <v>3669</v>
      </c>
      <c r="B1475" t="s">
        <v>1314</v>
      </c>
      <c r="C1475" t="s">
        <v>3670</v>
      </c>
      <c r="D1475" t="s">
        <v>27</v>
      </c>
      <c r="E1475" t="s">
        <v>28</v>
      </c>
      <c r="F1475" t="s">
        <v>225</v>
      </c>
      <c r="G1475">
        <v>2</v>
      </c>
      <c r="H1475">
        <v>6514.42</v>
      </c>
      <c r="I1475">
        <v>0.15</v>
      </c>
      <c r="J1475">
        <v>11074.51</v>
      </c>
      <c r="K1475">
        <v>2315.28</v>
      </c>
      <c r="L1475">
        <v>2.5</v>
      </c>
      <c r="M1475" s="53">
        <v>44978</v>
      </c>
      <c r="N1475" t="s">
        <v>30</v>
      </c>
      <c r="O1475" t="s">
        <v>57</v>
      </c>
      <c r="P1475" s="54">
        <v>0.209063877318274</v>
      </c>
    </row>
    <row r="1476" spans="1:16">
      <c r="A1476" t="s">
        <v>3671</v>
      </c>
      <c r="B1476" t="s">
        <v>1876</v>
      </c>
      <c r="C1476" t="s">
        <v>3672</v>
      </c>
      <c r="D1476" t="s">
        <v>40</v>
      </c>
      <c r="E1476" t="s">
        <v>262</v>
      </c>
      <c r="F1476" t="s">
        <v>263</v>
      </c>
      <c r="G1476">
        <v>5</v>
      </c>
      <c r="H1476">
        <v>6173.3</v>
      </c>
      <c r="I1476">
        <v>0.15</v>
      </c>
      <c r="J1476">
        <v>26236.52</v>
      </c>
      <c r="K1476">
        <v>3054.7</v>
      </c>
      <c r="L1476">
        <v>4.7</v>
      </c>
      <c r="M1476" s="53">
        <v>45214</v>
      </c>
      <c r="N1476" t="s">
        <v>30</v>
      </c>
      <c r="O1476" t="s">
        <v>23</v>
      </c>
      <c r="P1476" s="54">
        <v>0.116429313033893</v>
      </c>
    </row>
    <row r="1477" spans="1:16">
      <c r="A1477" t="s">
        <v>3673</v>
      </c>
      <c r="B1477" t="s">
        <v>1202</v>
      </c>
      <c r="C1477" t="s">
        <v>3674</v>
      </c>
      <c r="D1477" t="s">
        <v>19</v>
      </c>
      <c r="E1477" t="s">
        <v>35</v>
      </c>
      <c r="F1477" t="s">
        <v>36</v>
      </c>
      <c r="G1477">
        <v>3</v>
      </c>
      <c r="H1477">
        <v>5364.05</v>
      </c>
      <c r="I1477">
        <v>0.05</v>
      </c>
      <c r="J1477">
        <v>15287.54</v>
      </c>
      <c r="K1477">
        <v>2470.7</v>
      </c>
      <c r="L1477">
        <v>2.3</v>
      </c>
      <c r="M1477" s="53">
        <v>45233</v>
      </c>
      <c r="N1477" t="s">
        <v>56</v>
      </c>
      <c r="O1477" t="s">
        <v>73</v>
      </c>
      <c r="P1477" s="54">
        <v>0.161615276231493</v>
      </c>
    </row>
    <row r="1478" spans="1:16">
      <c r="A1478" t="s">
        <v>3675</v>
      </c>
      <c r="B1478" t="s">
        <v>3676</v>
      </c>
      <c r="C1478" t="s">
        <v>3192</v>
      </c>
      <c r="D1478" t="s">
        <v>19</v>
      </c>
      <c r="E1478" t="s">
        <v>86</v>
      </c>
      <c r="F1478" t="s">
        <v>182</v>
      </c>
      <c r="G1478">
        <v>5</v>
      </c>
      <c r="H1478">
        <v>1479.37</v>
      </c>
      <c r="I1478">
        <v>0.2</v>
      </c>
      <c r="J1478">
        <v>5917.48</v>
      </c>
      <c r="K1478">
        <v>444.76</v>
      </c>
      <c r="L1478">
        <v>4.4</v>
      </c>
      <c r="M1478" s="53">
        <v>45220</v>
      </c>
      <c r="N1478" t="s">
        <v>22</v>
      </c>
      <c r="O1478" t="s">
        <v>44</v>
      </c>
      <c r="P1478" s="54">
        <v>0.07516037232065</v>
      </c>
    </row>
    <row r="1479" spans="1:16">
      <c r="A1479" t="s">
        <v>3677</v>
      </c>
      <c r="B1479" t="s">
        <v>696</v>
      </c>
      <c r="C1479" t="s">
        <v>3678</v>
      </c>
      <c r="D1479" t="s">
        <v>40</v>
      </c>
      <c r="E1479" t="s">
        <v>174</v>
      </c>
      <c r="F1479" t="s">
        <v>175</v>
      </c>
      <c r="G1479">
        <v>4</v>
      </c>
      <c r="H1479">
        <v>12570.76</v>
      </c>
      <c r="I1479">
        <v>0.05</v>
      </c>
      <c r="J1479">
        <v>47768.89</v>
      </c>
      <c r="K1479">
        <v>10018.57</v>
      </c>
      <c r="L1479">
        <v>3.6</v>
      </c>
      <c r="M1479" s="53">
        <v>45629</v>
      </c>
      <c r="N1479" t="s">
        <v>43</v>
      </c>
      <c r="O1479" t="s">
        <v>44</v>
      </c>
      <c r="P1479" s="54">
        <v>0.209730014660169</v>
      </c>
    </row>
    <row r="1480" spans="1:16">
      <c r="A1480" t="s">
        <v>3679</v>
      </c>
      <c r="B1480" t="s">
        <v>3680</v>
      </c>
      <c r="C1480" t="s">
        <v>3681</v>
      </c>
      <c r="D1480" t="s">
        <v>40</v>
      </c>
      <c r="E1480" t="s">
        <v>41</v>
      </c>
      <c r="F1480" t="s">
        <v>154</v>
      </c>
      <c r="G1480">
        <v>3</v>
      </c>
      <c r="H1480">
        <v>5918.34</v>
      </c>
      <c r="I1480">
        <v>0.15</v>
      </c>
      <c r="J1480">
        <v>15091.77</v>
      </c>
      <c r="K1480">
        <v>3002.39</v>
      </c>
      <c r="L1480">
        <v>4.2</v>
      </c>
      <c r="M1480" s="53">
        <v>44942</v>
      </c>
      <c r="N1480" t="s">
        <v>56</v>
      </c>
      <c r="O1480" t="s">
        <v>73</v>
      </c>
      <c r="P1480" s="54">
        <v>0.198942204923611</v>
      </c>
    </row>
    <row r="1481" spans="1:16">
      <c r="A1481" t="s">
        <v>3682</v>
      </c>
      <c r="B1481" t="s">
        <v>3596</v>
      </c>
      <c r="C1481" t="s">
        <v>3683</v>
      </c>
      <c r="D1481" t="s">
        <v>27</v>
      </c>
      <c r="E1481" t="s">
        <v>48</v>
      </c>
      <c r="F1481" t="s">
        <v>64</v>
      </c>
      <c r="G1481">
        <v>3</v>
      </c>
      <c r="H1481">
        <v>244.53</v>
      </c>
      <c r="I1481">
        <v>0.2</v>
      </c>
      <c r="J1481">
        <v>586.87</v>
      </c>
      <c r="K1481">
        <v>58.67</v>
      </c>
      <c r="L1481">
        <v>1.2</v>
      </c>
      <c r="M1481" s="53">
        <v>45441</v>
      </c>
      <c r="N1481" t="s">
        <v>43</v>
      </c>
      <c r="O1481" t="s">
        <v>57</v>
      </c>
      <c r="P1481" s="54">
        <v>0.0999710327670523</v>
      </c>
    </row>
    <row r="1482" spans="1:16">
      <c r="A1482" t="s">
        <v>3684</v>
      </c>
      <c r="B1482" t="s">
        <v>2545</v>
      </c>
      <c r="C1482" t="s">
        <v>3685</v>
      </c>
      <c r="D1482" t="s">
        <v>40</v>
      </c>
      <c r="E1482" t="s">
        <v>81</v>
      </c>
      <c r="F1482" t="s">
        <v>82</v>
      </c>
      <c r="G1482">
        <v>2</v>
      </c>
      <c r="H1482">
        <v>18258.08</v>
      </c>
      <c r="I1482">
        <v>0.15</v>
      </c>
      <c r="J1482">
        <v>31038.74</v>
      </c>
      <c r="K1482">
        <v>2623.73</v>
      </c>
      <c r="L1482">
        <v>5</v>
      </c>
      <c r="M1482" s="53">
        <v>45205</v>
      </c>
      <c r="N1482" t="s">
        <v>43</v>
      </c>
      <c r="O1482" t="s">
        <v>73</v>
      </c>
      <c r="P1482" s="54">
        <v>0.0845308153617061</v>
      </c>
    </row>
    <row r="1483" spans="1:16">
      <c r="A1483" t="s">
        <v>3686</v>
      </c>
      <c r="B1483" t="s">
        <v>2301</v>
      </c>
      <c r="C1483" t="s">
        <v>1398</v>
      </c>
      <c r="D1483" t="s">
        <v>53</v>
      </c>
      <c r="E1483" t="s">
        <v>54</v>
      </c>
      <c r="F1483" t="s">
        <v>249</v>
      </c>
      <c r="G1483">
        <v>2</v>
      </c>
      <c r="H1483">
        <v>788.13</v>
      </c>
      <c r="I1483">
        <v>0.2</v>
      </c>
      <c r="J1483">
        <v>1261.01</v>
      </c>
      <c r="K1483">
        <v>160.42</v>
      </c>
      <c r="L1483">
        <v>4.2</v>
      </c>
      <c r="M1483" s="53">
        <v>44990</v>
      </c>
      <c r="N1483" t="s">
        <v>30</v>
      </c>
      <c r="O1483" t="s">
        <v>23</v>
      </c>
      <c r="P1483" s="54">
        <v>0.127215485999318</v>
      </c>
    </row>
    <row r="1484" spans="1:16">
      <c r="A1484" t="s">
        <v>3687</v>
      </c>
      <c r="B1484" t="s">
        <v>3406</v>
      </c>
      <c r="C1484" t="s">
        <v>3688</v>
      </c>
      <c r="D1484" t="s">
        <v>40</v>
      </c>
      <c r="E1484" t="s">
        <v>174</v>
      </c>
      <c r="F1484" t="s">
        <v>175</v>
      </c>
      <c r="G1484">
        <v>4</v>
      </c>
      <c r="H1484">
        <v>18008.01</v>
      </c>
      <c r="I1484">
        <v>0.2</v>
      </c>
      <c r="J1484">
        <v>57625.63</v>
      </c>
      <c r="K1484">
        <v>12441.24</v>
      </c>
      <c r="L1484">
        <v>4.5</v>
      </c>
      <c r="M1484" s="53">
        <v>45207</v>
      </c>
      <c r="N1484" t="s">
        <v>22</v>
      </c>
      <c r="O1484" t="s">
        <v>73</v>
      </c>
      <c r="P1484" s="54">
        <v>0.2158976830275</v>
      </c>
    </row>
    <row r="1485" spans="1:16">
      <c r="A1485" t="s">
        <v>3689</v>
      </c>
      <c r="B1485" t="s">
        <v>976</v>
      </c>
      <c r="C1485" t="s">
        <v>3690</v>
      </c>
      <c r="D1485" t="s">
        <v>53</v>
      </c>
      <c r="E1485" t="s">
        <v>54</v>
      </c>
      <c r="F1485" t="s">
        <v>109</v>
      </c>
      <c r="G1485">
        <v>1</v>
      </c>
      <c r="H1485">
        <v>3837.76</v>
      </c>
      <c r="I1485">
        <v>0.05</v>
      </c>
      <c r="J1485">
        <v>3645.87</v>
      </c>
      <c r="K1485">
        <v>553.44</v>
      </c>
      <c r="L1485">
        <v>4.7</v>
      </c>
      <c r="M1485" s="53">
        <v>45132</v>
      </c>
      <c r="N1485" t="s">
        <v>30</v>
      </c>
      <c r="O1485" t="s">
        <v>44</v>
      </c>
      <c r="P1485" s="54">
        <v>0.151799159048458</v>
      </c>
    </row>
    <row r="1486" spans="1:16">
      <c r="A1486" t="s">
        <v>3691</v>
      </c>
      <c r="B1486" t="s">
        <v>3692</v>
      </c>
      <c r="C1486" t="s">
        <v>3693</v>
      </c>
      <c r="D1486" t="s">
        <v>53</v>
      </c>
      <c r="E1486" t="s">
        <v>54</v>
      </c>
      <c r="F1486" t="s">
        <v>55</v>
      </c>
      <c r="G1486">
        <v>1</v>
      </c>
      <c r="H1486">
        <v>7071.28</v>
      </c>
      <c r="I1486">
        <v>0.2</v>
      </c>
      <c r="J1486">
        <v>5657.02</v>
      </c>
      <c r="K1486">
        <v>865.03</v>
      </c>
      <c r="L1486">
        <v>1.6</v>
      </c>
      <c r="M1486" s="53">
        <v>45446</v>
      </c>
      <c r="N1486" t="s">
        <v>56</v>
      </c>
      <c r="O1486" t="s">
        <v>23</v>
      </c>
      <c r="P1486" s="54">
        <v>0.152912664264931</v>
      </c>
    </row>
    <row r="1487" spans="1:16">
      <c r="A1487" t="s">
        <v>3694</v>
      </c>
      <c r="B1487" t="s">
        <v>673</v>
      </c>
      <c r="C1487" t="s">
        <v>3695</v>
      </c>
      <c r="D1487" t="s">
        <v>40</v>
      </c>
      <c r="E1487" t="s">
        <v>174</v>
      </c>
      <c r="F1487" t="s">
        <v>199</v>
      </c>
      <c r="G1487">
        <v>4</v>
      </c>
      <c r="H1487">
        <v>17206.32</v>
      </c>
      <c r="I1487">
        <v>0.05</v>
      </c>
      <c r="J1487">
        <v>65384.02</v>
      </c>
      <c r="K1487">
        <v>10216.03</v>
      </c>
      <c r="L1487">
        <v>1.8</v>
      </c>
      <c r="M1487" s="53">
        <v>45348</v>
      </c>
      <c r="N1487" t="s">
        <v>43</v>
      </c>
      <c r="O1487" t="s">
        <v>23</v>
      </c>
      <c r="P1487" s="54">
        <v>0.156246587468926</v>
      </c>
    </row>
    <row r="1488" spans="1:16">
      <c r="A1488" t="s">
        <v>3696</v>
      </c>
      <c r="B1488" t="s">
        <v>331</v>
      </c>
      <c r="C1488" t="s">
        <v>1817</v>
      </c>
      <c r="D1488" t="s">
        <v>19</v>
      </c>
      <c r="E1488" t="s">
        <v>129</v>
      </c>
      <c r="F1488" t="s">
        <v>167</v>
      </c>
      <c r="G1488">
        <v>3</v>
      </c>
      <c r="H1488">
        <v>4897.33</v>
      </c>
      <c r="I1488">
        <v>0.05</v>
      </c>
      <c r="J1488">
        <v>13957.39</v>
      </c>
      <c r="K1488">
        <v>2030.52</v>
      </c>
      <c r="L1488">
        <v>2</v>
      </c>
      <c r="M1488" s="53">
        <v>44949</v>
      </c>
      <c r="N1488" t="s">
        <v>30</v>
      </c>
      <c r="O1488" t="s">
        <v>44</v>
      </c>
      <c r="P1488" s="54">
        <v>0.145479921389314</v>
      </c>
    </row>
    <row r="1489" spans="1:16">
      <c r="A1489" t="s">
        <v>3697</v>
      </c>
      <c r="B1489" t="s">
        <v>2446</v>
      </c>
      <c r="C1489" t="s">
        <v>3698</v>
      </c>
      <c r="D1489" t="s">
        <v>19</v>
      </c>
      <c r="E1489" t="s">
        <v>35</v>
      </c>
      <c r="F1489" t="s">
        <v>121</v>
      </c>
      <c r="G1489">
        <v>3</v>
      </c>
      <c r="H1489">
        <v>10489.76</v>
      </c>
      <c r="I1489">
        <v>0.2</v>
      </c>
      <c r="J1489">
        <v>25175.42</v>
      </c>
      <c r="K1489">
        <v>2537.59</v>
      </c>
      <c r="L1489">
        <v>3.4</v>
      </c>
      <c r="M1489" s="53">
        <v>45020</v>
      </c>
      <c r="N1489" t="s">
        <v>22</v>
      </c>
      <c r="O1489" t="s">
        <v>57</v>
      </c>
      <c r="P1489" s="54">
        <v>0.100796332295549</v>
      </c>
    </row>
    <row r="1490" spans="1:16">
      <c r="A1490" t="s">
        <v>3699</v>
      </c>
      <c r="B1490" t="s">
        <v>340</v>
      </c>
      <c r="C1490" t="s">
        <v>3700</v>
      </c>
      <c r="D1490" t="s">
        <v>19</v>
      </c>
      <c r="E1490" t="s">
        <v>35</v>
      </c>
      <c r="F1490" t="s">
        <v>215</v>
      </c>
      <c r="G1490">
        <v>4</v>
      </c>
      <c r="H1490">
        <v>10553.78</v>
      </c>
      <c r="I1490">
        <v>0.05</v>
      </c>
      <c r="J1490">
        <v>40104.36</v>
      </c>
      <c r="K1490">
        <v>7452.5</v>
      </c>
      <c r="L1490">
        <v>2.9</v>
      </c>
      <c r="M1490" s="53">
        <v>44927</v>
      </c>
      <c r="N1490" t="s">
        <v>22</v>
      </c>
      <c r="O1490" t="s">
        <v>31</v>
      </c>
      <c r="P1490" s="54">
        <v>0.185827675594374</v>
      </c>
    </row>
    <row r="1491" spans="1:16">
      <c r="A1491" t="s">
        <v>3701</v>
      </c>
      <c r="B1491" t="s">
        <v>1548</v>
      </c>
      <c r="C1491" t="s">
        <v>3702</v>
      </c>
      <c r="D1491" t="s">
        <v>53</v>
      </c>
      <c r="E1491" t="s">
        <v>95</v>
      </c>
      <c r="F1491" t="s">
        <v>524</v>
      </c>
      <c r="G1491">
        <v>2</v>
      </c>
      <c r="H1491">
        <v>5054.99</v>
      </c>
      <c r="I1491">
        <v>0</v>
      </c>
      <c r="J1491">
        <v>10109.98</v>
      </c>
      <c r="K1491">
        <v>757.21</v>
      </c>
      <c r="L1491">
        <v>4.6</v>
      </c>
      <c r="M1491" s="53">
        <v>45052</v>
      </c>
      <c r="N1491" t="s">
        <v>30</v>
      </c>
      <c r="O1491" t="s">
        <v>57</v>
      </c>
      <c r="P1491" s="54">
        <v>0.0748972797176651</v>
      </c>
    </row>
    <row r="1492" spans="1:16">
      <c r="A1492" t="s">
        <v>3703</v>
      </c>
      <c r="B1492" t="s">
        <v>687</v>
      </c>
      <c r="C1492" t="s">
        <v>3704</v>
      </c>
      <c r="D1492" t="s">
        <v>53</v>
      </c>
      <c r="E1492" t="s">
        <v>71</v>
      </c>
      <c r="F1492" t="s">
        <v>150</v>
      </c>
      <c r="G1492">
        <v>5</v>
      </c>
      <c r="H1492">
        <v>4525.8</v>
      </c>
      <c r="I1492">
        <v>0.05</v>
      </c>
      <c r="J1492">
        <v>21497.55</v>
      </c>
      <c r="K1492">
        <v>2615.67</v>
      </c>
      <c r="L1492">
        <v>2.6</v>
      </c>
      <c r="M1492" s="53">
        <v>45534</v>
      </c>
      <c r="N1492" t="s">
        <v>22</v>
      </c>
      <c r="O1492" t="s">
        <v>73</v>
      </c>
      <c r="P1492" s="54">
        <v>0.121672934822805</v>
      </c>
    </row>
    <row r="1493" spans="1:16">
      <c r="A1493" t="s">
        <v>3705</v>
      </c>
      <c r="B1493" t="s">
        <v>3706</v>
      </c>
      <c r="C1493" t="s">
        <v>3707</v>
      </c>
      <c r="D1493" t="s">
        <v>19</v>
      </c>
      <c r="E1493" t="s">
        <v>35</v>
      </c>
      <c r="F1493" t="s">
        <v>215</v>
      </c>
      <c r="G1493">
        <v>4</v>
      </c>
      <c r="H1493">
        <v>9188.49</v>
      </c>
      <c r="I1493">
        <v>0.1</v>
      </c>
      <c r="J1493">
        <v>33078.56</v>
      </c>
      <c r="K1493">
        <v>7917.29</v>
      </c>
      <c r="L1493">
        <v>3.3</v>
      </c>
      <c r="M1493" s="53">
        <v>45094</v>
      </c>
      <c r="N1493" t="s">
        <v>56</v>
      </c>
      <c r="O1493" t="s">
        <v>23</v>
      </c>
      <c r="P1493" s="54">
        <v>0.239348085285454</v>
      </c>
    </row>
    <row r="1494" spans="1:16">
      <c r="A1494" t="s">
        <v>3708</v>
      </c>
      <c r="B1494" t="s">
        <v>139</v>
      </c>
      <c r="C1494" t="s">
        <v>3709</v>
      </c>
      <c r="D1494" t="s">
        <v>19</v>
      </c>
      <c r="E1494" t="s">
        <v>35</v>
      </c>
      <c r="F1494" t="s">
        <v>36</v>
      </c>
      <c r="G1494">
        <v>5</v>
      </c>
      <c r="H1494">
        <v>14384.42</v>
      </c>
      <c r="I1494">
        <v>0</v>
      </c>
      <c r="J1494">
        <v>71922.1</v>
      </c>
      <c r="K1494">
        <v>12492.58</v>
      </c>
      <c r="L1494">
        <v>1.5</v>
      </c>
      <c r="M1494" s="53">
        <v>45487</v>
      </c>
      <c r="N1494" t="s">
        <v>56</v>
      </c>
      <c r="O1494" t="s">
        <v>44</v>
      </c>
      <c r="P1494" s="54">
        <v>0.173695984961507</v>
      </c>
    </row>
    <row r="1495" spans="1:16">
      <c r="A1495" t="s">
        <v>3710</v>
      </c>
      <c r="B1495" t="s">
        <v>2533</v>
      </c>
      <c r="C1495" t="s">
        <v>3711</v>
      </c>
      <c r="D1495" t="s">
        <v>40</v>
      </c>
      <c r="E1495" t="s">
        <v>41</v>
      </c>
      <c r="F1495" t="s">
        <v>91</v>
      </c>
      <c r="G1495">
        <v>1</v>
      </c>
      <c r="H1495">
        <v>11333.5</v>
      </c>
      <c r="I1495">
        <v>0.05</v>
      </c>
      <c r="J1495">
        <v>10766.82</v>
      </c>
      <c r="K1495">
        <v>1786.72</v>
      </c>
      <c r="L1495">
        <v>3.4</v>
      </c>
      <c r="M1495" s="53">
        <v>45247</v>
      </c>
      <c r="N1495" t="s">
        <v>22</v>
      </c>
      <c r="O1495" t="s">
        <v>57</v>
      </c>
      <c r="P1495" s="54">
        <v>0.165946862676259</v>
      </c>
    </row>
    <row r="1496" spans="1:16">
      <c r="A1496" t="s">
        <v>3712</v>
      </c>
      <c r="B1496" t="s">
        <v>2139</v>
      </c>
      <c r="C1496" t="s">
        <v>3713</v>
      </c>
      <c r="D1496" t="s">
        <v>27</v>
      </c>
      <c r="E1496" t="s">
        <v>28</v>
      </c>
      <c r="F1496" t="s">
        <v>225</v>
      </c>
      <c r="G1496">
        <v>5</v>
      </c>
      <c r="H1496">
        <v>12116.67</v>
      </c>
      <c r="I1496">
        <v>0.15</v>
      </c>
      <c r="J1496">
        <v>51495.85</v>
      </c>
      <c r="K1496">
        <v>4210.46</v>
      </c>
      <c r="L1496">
        <v>3.4</v>
      </c>
      <c r="M1496" s="53">
        <v>45348</v>
      </c>
      <c r="N1496" t="s">
        <v>56</v>
      </c>
      <c r="O1496" t="s">
        <v>57</v>
      </c>
      <c r="P1496" s="54">
        <v>0.0817630935308379</v>
      </c>
    </row>
    <row r="1497" spans="1:16">
      <c r="A1497" t="s">
        <v>3714</v>
      </c>
      <c r="B1497" t="s">
        <v>432</v>
      </c>
      <c r="C1497" t="s">
        <v>3715</v>
      </c>
      <c r="D1497" t="s">
        <v>27</v>
      </c>
      <c r="E1497" t="s">
        <v>48</v>
      </c>
      <c r="F1497" t="s">
        <v>583</v>
      </c>
      <c r="G1497">
        <v>3</v>
      </c>
      <c r="H1497">
        <v>19313.13</v>
      </c>
      <c r="I1497">
        <v>0.1</v>
      </c>
      <c r="J1497">
        <v>52145.45</v>
      </c>
      <c r="K1497">
        <v>5541.16</v>
      </c>
      <c r="L1497">
        <v>3.9</v>
      </c>
      <c r="M1497" s="53">
        <v>45537</v>
      </c>
      <c r="N1497" t="s">
        <v>30</v>
      </c>
      <c r="O1497" t="s">
        <v>44</v>
      </c>
      <c r="P1497" s="54">
        <v>0.106263537854213</v>
      </c>
    </row>
    <row r="1498" spans="1:16">
      <c r="A1498" t="s">
        <v>3716</v>
      </c>
      <c r="B1498" t="s">
        <v>1452</v>
      </c>
      <c r="C1498" t="s">
        <v>3717</v>
      </c>
      <c r="D1498" t="s">
        <v>40</v>
      </c>
      <c r="E1498" t="s">
        <v>262</v>
      </c>
      <c r="F1498" t="s">
        <v>385</v>
      </c>
      <c r="G1498">
        <v>2</v>
      </c>
      <c r="H1498">
        <v>10840.15</v>
      </c>
      <c r="I1498">
        <v>0.2</v>
      </c>
      <c r="J1498">
        <v>17344.24</v>
      </c>
      <c r="K1498">
        <v>1260</v>
      </c>
      <c r="L1498">
        <v>4.4</v>
      </c>
      <c r="M1498" s="53">
        <v>45617</v>
      </c>
      <c r="N1498" t="s">
        <v>56</v>
      </c>
      <c r="O1498" t="s">
        <v>57</v>
      </c>
      <c r="P1498" s="54">
        <v>0.072646596218687</v>
      </c>
    </row>
    <row r="1499" spans="1:16">
      <c r="A1499" t="s">
        <v>3718</v>
      </c>
      <c r="B1499" t="s">
        <v>2944</v>
      </c>
      <c r="C1499" t="s">
        <v>3719</v>
      </c>
      <c r="D1499" t="s">
        <v>53</v>
      </c>
      <c r="E1499" t="s">
        <v>71</v>
      </c>
      <c r="F1499" t="s">
        <v>72</v>
      </c>
      <c r="G1499">
        <v>4</v>
      </c>
      <c r="H1499">
        <v>12063.1</v>
      </c>
      <c r="I1499">
        <v>0.05</v>
      </c>
      <c r="J1499">
        <v>45839.78</v>
      </c>
      <c r="K1499">
        <v>6378.24</v>
      </c>
      <c r="L1499">
        <v>2.8</v>
      </c>
      <c r="M1499" s="53">
        <v>44963</v>
      </c>
      <c r="N1499" t="s">
        <v>56</v>
      </c>
      <c r="O1499" t="s">
        <v>57</v>
      </c>
      <c r="P1499" s="54">
        <v>0.139142029041152</v>
      </c>
    </row>
    <row r="1500" spans="1:16">
      <c r="A1500" t="s">
        <v>3720</v>
      </c>
      <c r="B1500" t="s">
        <v>51</v>
      </c>
      <c r="C1500" t="s">
        <v>3257</v>
      </c>
      <c r="D1500" t="s">
        <v>40</v>
      </c>
      <c r="E1500" t="s">
        <v>174</v>
      </c>
      <c r="F1500" t="s">
        <v>199</v>
      </c>
      <c r="G1500">
        <v>4</v>
      </c>
      <c r="H1500">
        <v>17429.45</v>
      </c>
      <c r="I1500">
        <v>0</v>
      </c>
      <c r="J1500">
        <v>69717.8</v>
      </c>
      <c r="K1500">
        <v>12151.67</v>
      </c>
      <c r="L1500">
        <v>1.9</v>
      </c>
      <c r="M1500" s="53">
        <v>45080</v>
      </c>
      <c r="N1500" t="s">
        <v>22</v>
      </c>
      <c r="O1500" t="s">
        <v>31</v>
      </c>
      <c r="P1500" s="54">
        <v>0.174297955471917</v>
      </c>
    </row>
    <row r="1501" spans="1:16">
      <c r="A1501" t="s">
        <v>3721</v>
      </c>
      <c r="B1501" t="s">
        <v>621</v>
      </c>
      <c r="C1501" t="s">
        <v>3722</v>
      </c>
      <c r="D1501" t="s">
        <v>40</v>
      </c>
      <c r="E1501" t="s">
        <v>41</v>
      </c>
      <c r="F1501" t="s">
        <v>125</v>
      </c>
      <c r="G1501">
        <v>5</v>
      </c>
      <c r="H1501">
        <v>3124.16</v>
      </c>
      <c r="I1501">
        <v>0.2</v>
      </c>
      <c r="J1501">
        <v>12496.64</v>
      </c>
      <c r="K1501">
        <v>1805.95</v>
      </c>
      <c r="L1501">
        <v>1.8</v>
      </c>
      <c r="M1501" s="53">
        <v>44953</v>
      </c>
      <c r="N1501" t="s">
        <v>56</v>
      </c>
      <c r="O1501" t="s">
        <v>31</v>
      </c>
      <c r="P1501" s="54">
        <v>0.144514845590495</v>
      </c>
    </row>
    <row r="1502" spans="1:16">
      <c r="A1502" t="s">
        <v>3723</v>
      </c>
      <c r="B1502" t="s">
        <v>2812</v>
      </c>
      <c r="C1502" t="s">
        <v>3724</v>
      </c>
      <c r="D1502" t="s">
        <v>19</v>
      </c>
      <c r="E1502" t="s">
        <v>20</v>
      </c>
      <c r="F1502" t="s">
        <v>121</v>
      </c>
      <c r="G1502">
        <v>1</v>
      </c>
      <c r="H1502">
        <v>7031.75</v>
      </c>
      <c r="I1502">
        <v>0.2</v>
      </c>
      <c r="J1502">
        <v>5625.4</v>
      </c>
      <c r="K1502">
        <v>434.5</v>
      </c>
      <c r="L1502">
        <v>3.7</v>
      </c>
      <c r="M1502" s="53">
        <v>45075</v>
      </c>
      <c r="N1502" t="s">
        <v>56</v>
      </c>
      <c r="O1502" t="s">
        <v>23</v>
      </c>
      <c r="P1502" s="54">
        <v>0.077238951896754</v>
      </c>
    </row>
    <row r="1503" spans="1:16">
      <c r="A1503" t="s">
        <v>3725</v>
      </c>
      <c r="B1503" t="s">
        <v>3726</v>
      </c>
      <c r="C1503" t="s">
        <v>3727</v>
      </c>
      <c r="D1503" t="s">
        <v>27</v>
      </c>
      <c r="E1503" t="s">
        <v>48</v>
      </c>
      <c r="F1503" t="s">
        <v>77</v>
      </c>
      <c r="G1503">
        <v>2</v>
      </c>
      <c r="H1503">
        <v>8784.16</v>
      </c>
      <c r="I1503">
        <v>0.1</v>
      </c>
      <c r="J1503">
        <v>15811.49</v>
      </c>
      <c r="K1503">
        <v>1940.7</v>
      </c>
      <c r="L1503">
        <v>3.9</v>
      </c>
      <c r="M1503" s="53">
        <v>45026</v>
      </c>
      <c r="N1503" t="s">
        <v>56</v>
      </c>
      <c r="O1503" t="s">
        <v>23</v>
      </c>
      <c r="P1503" s="54">
        <v>0.122739855636629</v>
      </c>
    </row>
    <row r="1504" spans="1:16">
      <c r="A1504" t="s">
        <v>3728</v>
      </c>
      <c r="B1504" t="s">
        <v>2206</v>
      </c>
      <c r="C1504" t="s">
        <v>3729</v>
      </c>
      <c r="D1504" t="s">
        <v>27</v>
      </c>
      <c r="E1504" t="s">
        <v>233</v>
      </c>
      <c r="F1504" t="s">
        <v>665</v>
      </c>
      <c r="G1504">
        <v>5</v>
      </c>
      <c r="H1504">
        <v>10238.77</v>
      </c>
      <c r="I1504">
        <v>0.15</v>
      </c>
      <c r="J1504">
        <v>43514.77</v>
      </c>
      <c r="K1504">
        <v>4767.87</v>
      </c>
      <c r="L1504">
        <v>4.3</v>
      </c>
      <c r="M1504" s="53">
        <v>45381</v>
      </c>
      <c r="N1504" t="s">
        <v>56</v>
      </c>
      <c r="O1504" t="s">
        <v>73</v>
      </c>
      <c r="P1504" s="54">
        <v>0.109569003811809</v>
      </c>
    </row>
    <row r="1505" spans="1:16">
      <c r="A1505" t="s">
        <v>3730</v>
      </c>
      <c r="B1505" t="s">
        <v>1944</v>
      </c>
      <c r="C1505" t="s">
        <v>379</v>
      </c>
      <c r="D1505" t="s">
        <v>53</v>
      </c>
      <c r="E1505" t="s">
        <v>100</v>
      </c>
      <c r="F1505" t="s">
        <v>267</v>
      </c>
      <c r="G1505">
        <v>1</v>
      </c>
      <c r="H1505">
        <v>18068.28</v>
      </c>
      <c r="I1505">
        <v>0.15</v>
      </c>
      <c r="J1505">
        <v>15358.04</v>
      </c>
      <c r="K1505">
        <v>999.38</v>
      </c>
      <c r="L1505">
        <v>3.5</v>
      </c>
      <c r="M1505" s="53">
        <v>45087</v>
      </c>
      <c r="N1505" t="s">
        <v>43</v>
      </c>
      <c r="O1505" t="s">
        <v>23</v>
      </c>
      <c r="P1505" s="54">
        <v>0.0650721055551359</v>
      </c>
    </row>
    <row r="1506" spans="1:16">
      <c r="A1506" t="s">
        <v>3731</v>
      </c>
      <c r="B1506" t="s">
        <v>375</v>
      </c>
      <c r="C1506" t="s">
        <v>3732</v>
      </c>
      <c r="D1506" t="s">
        <v>27</v>
      </c>
      <c r="E1506" t="s">
        <v>117</v>
      </c>
      <c r="F1506" t="s">
        <v>505</v>
      </c>
      <c r="G1506">
        <v>1</v>
      </c>
      <c r="H1506">
        <v>3238.02</v>
      </c>
      <c r="I1506">
        <v>0.1</v>
      </c>
      <c r="J1506">
        <v>2914.22</v>
      </c>
      <c r="K1506">
        <v>586.37</v>
      </c>
      <c r="L1506">
        <v>4.7</v>
      </c>
      <c r="M1506" s="53">
        <v>45642</v>
      </c>
      <c r="N1506" t="s">
        <v>30</v>
      </c>
      <c r="O1506" t="s">
        <v>57</v>
      </c>
      <c r="P1506" s="54">
        <v>0.201209929243503</v>
      </c>
    </row>
    <row r="1507" spans="1:16">
      <c r="A1507" t="s">
        <v>3733</v>
      </c>
      <c r="B1507" t="s">
        <v>172</v>
      </c>
      <c r="C1507" t="s">
        <v>3734</v>
      </c>
      <c r="D1507" t="s">
        <v>40</v>
      </c>
      <c r="E1507" t="s">
        <v>81</v>
      </c>
      <c r="F1507" t="s">
        <v>358</v>
      </c>
      <c r="G1507">
        <v>3</v>
      </c>
      <c r="H1507">
        <v>6064.12</v>
      </c>
      <c r="I1507">
        <v>0.15</v>
      </c>
      <c r="J1507">
        <v>15463.51</v>
      </c>
      <c r="K1507">
        <v>2206.78</v>
      </c>
      <c r="L1507">
        <v>2</v>
      </c>
      <c r="M1507" s="53">
        <v>45069</v>
      </c>
      <c r="N1507" t="s">
        <v>43</v>
      </c>
      <c r="O1507" t="s">
        <v>44</v>
      </c>
      <c r="P1507" s="54">
        <v>0.142708867521022</v>
      </c>
    </row>
    <row r="1508" spans="1:16">
      <c r="A1508" t="s">
        <v>3735</v>
      </c>
      <c r="B1508" t="s">
        <v>3736</v>
      </c>
      <c r="C1508" t="s">
        <v>3737</v>
      </c>
      <c r="D1508" t="s">
        <v>53</v>
      </c>
      <c r="E1508" t="s">
        <v>95</v>
      </c>
      <c r="F1508" t="s">
        <v>524</v>
      </c>
      <c r="G1508">
        <v>5</v>
      </c>
      <c r="H1508">
        <v>5306.39</v>
      </c>
      <c r="I1508">
        <v>0.1</v>
      </c>
      <c r="J1508">
        <v>23878.76</v>
      </c>
      <c r="K1508">
        <v>4127.13</v>
      </c>
      <c r="L1508">
        <v>3.3</v>
      </c>
      <c r="M1508" s="53">
        <v>45374</v>
      </c>
      <c r="N1508" t="s">
        <v>56</v>
      </c>
      <c r="O1508" t="s">
        <v>23</v>
      </c>
      <c r="P1508" s="54">
        <v>0.172836864225781</v>
      </c>
    </row>
    <row r="1509" spans="1:16">
      <c r="A1509" t="s">
        <v>3738</v>
      </c>
      <c r="B1509" t="s">
        <v>3739</v>
      </c>
      <c r="C1509" t="s">
        <v>3740</v>
      </c>
      <c r="D1509" t="s">
        <v>40</v>
      </c>
      <c r="E1509" t="s">
        <v>41</v>
      </c>
      <c r="F1509" t="s">
        <v>125</v>
      </c>
      <c r="G1509">
        <v>5</v>
      </c>
      <c r="H1509">
        <v>18274.96</v>
      </c>
      <c r="I1509">
        <v>0</v>
      </c>
      <c r="J1509">
        <v>91374.8</v>
      </c>
      <c r="K1509">
        <v>5854.54</v>
      </c>
      <c r="L1509">
        <v>3.1</v>
      </c>
      <c r="M1509" s="53">
        <v>45456</v>
      </c>
      <c r="N1509" t="s">
        <v>43</v>
      </c>
      <c r="O1509" t="s">
        <v>23</v>
      </c>
      <c r="P1509" s="54">
        <v>0.0640717134264589</v>
      </c>
    </row>
    <row r="1510" spans="1:16">
      <c r="A1510" t="s">
        <v>3741</v>
      </c>
      <c r="B1510" t="s">
        <v>2126</v>
      </c>
      <c r="C1510" t="s">
        <v>3742</v>
      </c>
      <c r="D1510" t="s">
        <v>27</v>
      </c>
      <c r="E1510" t="s">
        <v>117</v>
      </c>
      <c r="F1510" t="s">
        <v>118</v>
      </c>
      <c r="G1510">
        <v>5</v>
      </c>
      <c r="H1510">
        <v>8005.33</v>
      </c>
      <c r="I1510">
        <v>0.05</v>
      </c>
      <c r="J1510">
        <v>38025.32</v>
      </c>
      <c r="K1510">
        <v>8136.38</v>
      </c>
      <c r="L1510">
        <v>4.6</v>
      </c>
      <c r="M1510" s="53">
        <v>45382</v>
      </c>
      <c r="N1510" t="s">
        <v>56</v>
      </c>
      <c r="O1510" t="s">
        <v>44</v>
      </c>
      <c r="P1510" s="54">
        <v>0.213972689776181</v>
      </c>
    </row>
    <row r="1511" spans="1:16">
      <c r="A1511" t="s">
        <v>3743</v>
      </c>
      <c r="B1511" t="s">
        <v>546</v>
      </c>
      <c r="C1511" t="s">
        <v>3744</v>
      </c>
      <c r="D1511" t="s">
        <v>53</v>
      </c>
      <c r="E1511" t="s">
        <v>95</v>
      </c>
      <c r="F1511" t="s">
        <v>306</v>
      </c>
      <c r="G1511">
        <v>3</v>
      </c>
      <c r="H1511">
        <v>11631.94</v>
      </c>
      <c r="I1511">
        <v>0.15</v>
      </c>
      <c r="J1511">
        <v>29661.45</v>
      </c>
      <c r="K1511">
        <v>3223.44</v>
      </c>
      <c r="L1511">
        <v>3.2</v>
      </c>
      <c r="M1511" s="53">
        <v>45194</v>
      </c>
      <c r="N1511" t="s">
        <v>43</v>
      </c>
      <c r="O1511" t="s">
        <v>31</v>
      </c>
      <c r="P1511" s="54">
        <v>0.108674390496756</v>
      </c>
    </row>
    <row r="1512" spans="1:16">
      <c r="A1512" t="s">
        <v>3745</v>
      </c>
      <c r="B1512" t="s">
        <v>2718</v>
      </c>
      <c r="C1512" t="s">
        <v>3746</v>
      </c>
      <c r="D1512" t="s">
        <v>19</v>
      </c>
      <c r="E1512" t="s">
        <v>86</v>
      </c>
      <c r="F1512" t="s">
        <v>182</v>
      </c>
      <c r="G1512">
        <v>4</v>
      </c>
      <c r="H1512">
        <v>10424.94</v>
      </c>
      <c r="I1512">
        <v>0.1</v>
      </c>
      <c r="J1512">
        <v>37529.78</v>
      </c>
      <c r="K1512">
        <v>5853.62</v>
      </c>
      <c r="L1512">
        <v>1.2</v>
      </c>
      <c r="M1512" s="53">
        <v>45003</v>
      </c>
      <c r="N1512" t="s">
        <v>43</v>
      </c>
      <c r="O1512" t="s">
        <v>73</v>
      </c>
      <c r="P1512" s="54">
        <v>0.155972670236809</v>
      </c>
    </row>
    <row r="1513" spans="1:16">
      <c r="A1513" t="s">
        <v>3747</v>
      </c>
      <c r="B1513" t="s">
        <v>2851</v>
      </c>
      <c r="C1513" t="s">
        <v>3748</v>
      </c>
      <c r="D1513" t="s">
        <v>40</v>
      </c>
      <c r="E1513" t="s">
        <v>174</v>
      </c>
      <c r="F1513" t="s">
        <v>175</v>
      </c>
      <c r="G1513">
        <v>3</v>
      </c>
      <c r="H1513">
        <v>17052.01</v>
      </c>
      <c r="I1513">
        <v>0.15</v>
      </c>
      <c r="J1513">
        <v>43482.63</v>
      </c>
      <c r="K1513">
        <v>6542.08</v>
      </c>
      <c r="L1513">
        <v>1.4</v>
      </c>
      <c r="M1513" s="53">
        <v>45307</v>
      </c>
      <c r="N1513" t="s">
        <v>56</v>
      </c>
      <c r="O1513" t="s">
        <v>57</v>
      </c>
      <c r="P1513" s="54">
        <v>0.150452721006066</v>
      </c>
    </row>
    <row r="1514" spans="1:16">
      <c r="A1514" t="s">
        <v>3749</v>
      </c>
      <c r="B1514" t="s">
        <v>513</v>
      </c>
      <c r="C1514" t="s">
        <v>3750</v>
      </c>
      <c r="D1514" t="s">
        <v>27</v>
      </c>
      <c r="E1514" t="s">
        <v>28</v>
      </c>
      <c r="F1514" t="s">
        <v>105</v>
      </c>
      <c r="G1514">
        <v>4</v>
      </c>
      <c r="H1514">
        <v>19885.13</v>
      </c>
      <c r="I1514">
        <v>0.05</v>
      </c>
      <c r="J1514">
        <v>75563.49</v>
      </c>
      <c r="K1514">
        <v>6444.05</v>
      </c>
      <c r="L1514">
        <v>1.7</v>
      </c>
      <c r="M1514" s="53">
        <v>45108</v>
      </c>
      <c r="N1514" t="s">
        <v>30</v>
      </c>
      <c r="O1514" t="s">
        <v>23</v>
      </c>
      <c r="P1514" s="54">
        <v>0.0852799414108586</v>
      </c>
    </row>
    <row r="1515" spans="1:16">
      <c r="A1515" t="s">
        <v>3751</v>
      </c>
      <c r="B1515" t="s">
        <v>2652</v>
      </c>
      <c r="C1515" t="s">
        <v>3249</v>
      </c>
      <c r="D1515" t="s">
        <v>27</v>
      </c>
      <c r="E1515" t="s">
        <v>233</v>
      </c>
      <c r="F1515" t="s">
        <v>606</v>
      </c>
      <c r="G1515">
        <v>1</v>
      </c>
      <c r="H1515">
        <v>736.48</v>
      </c>
      <c r="I1515">
        <v>0.05</v>
      </c>
      <c r="J1515">
        <v>699.66</v>
      </c>
      <c r="K1515">
        <v>72.65</v>
      </c>
      <c r="L1515">
        <v>1.2</v>
      </c>
      <c r="M1515" s="53">
        <v>45279</v>
      </c>
      <c r="N1515" t="s">
        <v>43</v>
      </c>
      <c r="O1515" t="s">
        <v>23</v>
      </c>
      <c r="P1515" s="54">
        <v>0.103836148986651</v>
      </c>
    </row>
    <row r="1516" spans="1:16">
      <c r="A1516" t="s">
        <v>3752</v>
      </c>
      <c r="B1516" t="s">
        <v>3692</v>
      </c>
      <c r="C1516" t="s">
        <v>3753</v>
      </c>
      <c r="D1516" t="s">
        <v>53</v>
      </c>
      <c r="E1516" t="s">
        <v>95</v>
      </c>
      <c r="F1516" t="s">
        <v>96</v>
      </c>
      <c r="G1516">
        <v>3</v>
      </c>
      <c r="H1516">
        <v>447.74</v>
      </c>
      <c r="I1516">
        <v>0.2</v>
      </c>
      <c r="J1516">
        <v>1074.58</v>
      </c>
      <c r="K1516">
        <v>187.66</v>
      </c>
      <c r="L1516">
        <v>2.2</v>
      </c>
      <c r="M1516" s="53">
        <v>44928</v>
      </c>
      <c r="N1516" t="s">
        <v>43</v>
      </c>
      <c r="O1516" t="s">
        <v>31</v>
      </c>
      <c r="P1516" s="54">
        <v>0.174635671611234</v>
      </c>
    </row>
    <row r="1517" spans="1:16">
      <c r="A1517" t="s">
        <v>3754</v>
      </c>
      <c r="B1517" t="s">
        <v>3755</v>
      </c>
      <c r="C1517" t="s">
        <v>483</v>
      </c>
      <c r="D1517" t="s">
        <v>53</v>
      </c>
      <c r="E1517" t="s">
        <v>100</v>
      </c>
      <c r="F1517" t="s">
        <v>101</v>
      </c>
      <c r="G1517">
        <v>4</v>
      </c>
      <c r="H1517">
        <v>6817.81</v>
      </c>
      <c r="I1517">
        <v>0</v>
      </c>
      <c r="J1517">
        <v>27271.24</v>
      </c>
      <c r="K1517">
        <v>2345.2</v>
      </c>
      <c r="L1517">
        <v>2.7</v>
      </c>
      <c r="M1517" s="53">
        <v>45032</v>
      </c>
      <c r="N1517" t="s">
        <v>56</v>
      </c>
      <c r="O1517" t="s">
        <v>57</v>
      </c>
      <c r="P1517" s="54">
        <v>0.0859953562800958</v>
      </c>
    </row>
    <row r="1518" spans="1:16">
      <c r="A1518" t="s">
        <v>3756</v>
      </c>
      <c r="B1518" t="s">
        <v>46</v>
      </c>
      <c r="C1518" t="s">
        <v>3757</v>
      </c>
      <c r="D1518" t="s">
        <v>27</v>
      </c>
      <c r="E1518" t="s">
        <v>233</v>
      </c>
      <c r="F1518" t="s">
        <v>362</v>
      </c>
      <c r="G1518">
        <v>2</v>
      </c>
      <c r="H1518">
        <v>276.67</v>
      </c>
      <c r="I1518">
        <v>0</v>
      </c>
      <c r="J1518">
        <v>553.34</v>
      </c>
      <c r="K1518">
        <v>97.68</v>
      </c>
      <c r="L1518">
        <v>4</v>
      </c>
      <c r="M1518" s="53">
        <v>45424</v>
      </c>
      <c r="N1518" t="s">
        <v>30</v>
      </c>
      <c r="O1518" t="s">
        <v>73</v>
      </c>
      <c r="P1518" s="54">
        <v>0.176527993638631</v>
      </c>
    </row>
    <row r="1519" spans="1:16">
      <c r="A1519" t="s">
        <v>3758</v>
      </c>
      <c r="B1519" t="s">
        <v>1631</v>
      </c>
      <c r="C1519" t="s">
        <v>3759</v>
      </c>
      <c r="D1519" t="s">
        <v>19</v>
      </c>
      <c r="E1519" t="s">
        <v>86</v>
      </c>
      <c r="F1519" t="s">
        <v>113</v>
      </c>
      <c r="G1519">
        <v>4</v>
      </c>
      <c r="H1519">
        <v>790.1</v>
      </c>
      <c r="I1519">
        <v>0.15</v>
      </c>
      <c r="J1519">
        <v>2686.34</v>
      </c>
      <c r="K1519">
        <v>245.84</v>
      </c>
      <c r="L1519">
        <v>1.8</v>
      </c>
      <c r="M1519" s="53">
        <v>45008</v>
      </c>
      <c r="N1519" t="s">
        <v>56</v>
      </c>
      <c r="O1519" t="s">
        <v>57</v>
      </c>
      <c r="P1519" s="54">
        <v>0.0915148492000268</v>
      </c>
    </row>
    <row r="1520" spans="1:16">
      <c r="A1520" t="s">
        <v>3760</v>
      </c>
      <c r="B1520" t="s">
        <v>1504</v>
      </c>
      <c r="C1520" t="s">
        <v>3761</v>
      </c>
      <c r="D1520" t="s">
        <v>27</v>
      </c>
      <c r="E1520" t="s">
        <v>233</v>
      </c>
      <c r="F1520" t="s">
        <v>362</v>
      </c>
      <c r="G1520">
        <v>1</v>
      </c>
      <c r="H1520">
        <v>16043.13</v>
      </c>
      <c r="I1520">
        <v>0.15</v>
      </c>
      <c r="J1520">
        <v>13636.66</v>
      </c>
      <c r="K1520">
        <v>1792.24</v>
      </c>
      <c r="L1520">
        <v>1.2</v>
      </c>
      <c r="M1520" s="53">
        <v>45419</v>
      </c>
      <c r="N1520" t="s">
        <v>56</v>
      </c>
      <c r="O1520" t="s">
        <v>31</v>
      </c>
      <c r="P1520" s="54">
        <v>0.131428076963127</v>
      </c>
    </row>
    <row r="1521" spans="1:16">
      <c r="A1521" t="s">
        <v>3762</v>
      </c>
      <c r="B1521" t="s">
        <v>2856</v>
      </c>
      <c r="C1521" t="s">
        <v>3763</v>
      </c>
      <c r="D1521" t="s">
        <v>40</v>
      </c>
      <c r="E1521" t="s">
        <v>81</v>
      </c>
      <c r="F1521" t="s">
        <v>241</v>
      </c>
      <c r="G1521">
        <v>1</v>
      </c>
      <c r="H1521">
        <v>2477.52</v>
      </c>
      <c r="I1521">
        <v>0.05</v>
      </c>
      <c r="J1521">
        <v>2353.64</v>
      </c>
      <c r="K1521">
        <v>238.66</v>
      </c>
      <c r="L1521">
        <v>1</v>
      </c>
      <c r="M1521" s="53">
        <v>45472</v>
      </c>
      <c r="N1521" t="s">
        <v>22</v>
      </c>
      <c r="O1521" t="s">
        <v>73</v>
      </c>
      <c r="P1521" s="54">
        <v>0.101400384085926</v>
      </c>
    </row>
    <row r="1522" spans="1:16">
      <c r="A1522" t="s">
        <v>3764</v>
      </c>
      <c r="B1522" t="s">
        <v>3765</v>
      </c>
      <c r="C1522" t="s">
        <v>3412</v>
      </c>
      <c r="D1522" t="s">
        <v>40</v>
      </c>
      <c r="E1522" t="s">
        <v>81</v>
      </c>
      <c r="F1522" t="s">
        <v>263</v>
      </c>
      <c r="G1522">
        <v>3</v>
      </c>
      <c r="H1522">
        <v>13476.69</v>
      </c>
      <c r="I1522">
        <v>0.1</v>
      </c>
      <c r="J1522">
        <v>36387.06</v>
      </c>
      <c r="K1522">
        <v>8062.77</v>
      </c>
      <c r="L1522">
        <v>5</v>
      </c>
      <c r="M1522" s="53">
        <v>45574</v>
      </c>
      <c r="N1522" t="s">
        <v>43</v>
      </c>
      <c r="O1522" t="s">
        <v>57</v>
      </c>
      <c r="P1522" s="54">
        <v>0.221583442025819</v>
      </c>
    </row>
    <row r="1523" spans="1:16">
      <c r="A1523" t="s">
        <v>3766</v>
      </c>
      <c r="B1523" t="s">
        <v>414</v>
      </c>
      <c r="C1523" t="s">
        <v>3767</v>
      </c>
      <c r="D1523" t="s">
        <v>53</v>
      </c>
      <c r="E1523" t="s">
        <v>54</v>
      </c>
      <c r="F1523" t="s">
        <v>258</v>
      </c>
      <c r="G1523">
        <v>1</v>
      </c>
      <c r="H1523">
        <v>3729.31</v>
      </c>
      <c r="I1523">
        <v>0</v>
      </c>
      <c r="J1523">
        <v>3729.31</v>
      </c>
      <c r="K1523">
        <v>519.45</v>
      </c>
      <c r="L1523">
        <v>4.3</v>
      </c>
      <c r="M1523" s="53">
        <v>45451</v>
      </c>
      <c r="N1523" t="s">
        <v>56</v>
      </c>
      <c r="O1523" t="s">
        <v>31</v>
      </c>
      <c r="P1523" s="54">
        <v>0.139288501090014</v>
      </c>
    </row>
    <row r="1524" spans="1:16">
      <c r="A1524" t="s">
        <v>3768</v>
      </c>
      <c r="B1524" t="s">
        <v>3769</v>
      </c>
      <c r="C1524" t="s">
        <v>3770</v>
      </c>
      <c r="D1524" t="s">
        <v>27</v>
      </c>
      <c r="E1524" t="s">
        <v>48</v>
      </c>
      <c r="F1524" t="s">
        <v>64</v>
      </c>
      <c r="G1524">
        <v>1</v>
      </c>
      <c r="H1524">
        <v>16243.69</v>
      </c>
      <c r="I1524">
        <v>0.1</v>
      </c>
      <c r="J1524">
        <v>14619.32</v>
      </c>
      <c r="K1524">
        <v>1287.53</v>
      </c>
      <c r="L1524">
        <v>3.1</v>
      </c>
      <c r="M1524" s="53">
        <v>45413</v>
      </c>
      <c r="N1524" t="s">
        <v>43</v>
      </c>
      <c r="O1524" t="s">
        <v>73</v>
      </c>
      <c r="P1524" s="54">
        <v>0.0880704437689304</v>
      </c>
    </row>
    <row r="1525" spans="1:16">
      <c r="A1525" t="s">
        <v>3771</v>
      </c>
      <c r="B1525" t="s">
        <v>1520</v>
      </c>
      <c r="C1525" t="s">
        <v>3772</v>
      </c>
      <c r="D1525" t="s">
        <v>19</v>
      </c>
      <c r="E1525" t="s">
        <v>35</v>
      </c>
      <c r="F1525" t="s">
        <v>36</v>
      </c>
      <c r="G1525">
        <v>5</v>
      </c>
      <c r="H1525">
        <v>3289.21</v>
      </c>
      <c r="I1525">
        <v>0.2</v>
      </c>
      <c r="J1525">
        <v>13156.84</v>
      </c>
      <c r="K1525">
        <v>1722.75</v>
      </c>
      <c r="L1525">
        <v>4</v>
      </c>
      <c r="M1525" s="53">
        <v>45057</v>
      </c>
      <c r="N1525" t="s">
        <v>56</v>
      </c>
      <c r="O1525" t="s">
        <v>31</v>
      </c>
      <c r="P1525" s="54">
        <v>0.130939496110008</v>
      </c>
    </row>
    <row r="1526" spans="1:16">
      <c r="A1526" t="s">
        <v>3773</v>
      </c>
      <c r="B1526" t="s">
        <v>1854</v>
      </c>
      <c r="C1526" t="s">
        <v>3774</v>
      </c>
      <c r="D1526" t="s">
        <v>19</v>
      </c>
      <c r="E1526" t="s">
        <v>129</v>
      </c>
      <c r="F1526" t="s">
        <v>302</v>
      </c>
      <c r="G1526">
        <v>3</v>
      </c>
      <c r="H1526">
        <v>6031.83</v>
      </c>
      <c r="I1526">
        <v>0</v>
      </c>
      <c r="J1526">
        <v>18095.49</v>
      </c>
      <c r="K1526">
        <v>2504.29</v>
      </c>
      <c r="L1526">
        <v>3.3</v>
      </c>
      <c r="M1526" s="53">
        <v>45258</v>
      </c>
      <c r="N1526" t="s">
        <v>56</v>
      </c>
      <c r="O1526" t="s">
        <v>31</v>
      </c>
      <c r="P1526" s="54">
        <v>0.138393047107318</v>
      </c>
    </row>
    <row r="1527" spans="1:16">
      <c r="A1527" t="s">
        <v>3775</v>
      </c>
      <c r="B1527" t="s">
        <v>555</v>
      </c>
      <c r="C1527" t="s">
        <v>3776</v>
      </c>
      <c r="D1527" t="s">
        <v>53</v>
      </c>
      <c r="E1527" t="s">
        <v>71</v>
      </c>
      <c r="F1527" t="s">
        <v>406</v>
      </c>
      <c r="G1527">
        <v>1</v>
      </c>
      <c r="H1527">
        <v>10492.23</v>
      </c>
      <c r="I1527">
        <v>0</v>
      </c>
      <c r="J1527">
        <v>10492.23</v>
      </c>
      <c r="K1527">
        <v>604.86</v>
      </c>
      <c r="L1527">
        <v>3.3</v>
      </c>
      <c r="M1527" s="53">
        <v>45612</v>
      </c>
      <c r="N1527" t="s">
        <v>43</v>
      </c>
      <c r="O1527" t="s">
        <v>44</v>
      </c>
      <c r="P1527" s="54">
        <v>0.0576483740825354</v>
      </c>
    </row>
    <row r="1528" spans="1:16">
      <c r="A1528" t="s">
        <v>3777</v>
      </c>
      <c r="B1528" t="s">
        <v>718</v>
      </c>
      <c r="C1528" t="s">
        <v>3778</v>
      </c>
      <c r="D1528" t="s">
        <v>27</v>
      </c>
      <c r="E1528" t="s">
        <v>233</v>
      </c>
      <c r="F1528" t="s">
        <v>606</v>
      </c>
      <c r="G1528">
        <v>2</v>
      </c>
      <c r="H1528">
        <v>2474.95</v>
      </c>
      <c r="I1528">
        <v>0.05</v>
      </c>
      <c r="J1528">
        <v>4702.4</v>
      </c>
      <c r="K1528">
        <v>765.73</v>
      </c>
      <c r="L1528">
        <v>2.9</v>
      </c>
      <c r="M1528" s="53">
        <v>45509</v>
      </c>
      <c r="N1528" t="s">
        <v>22</v>
      </c>
      <c r="O1528" t="s">
        <v>57</v>
      </c>
      <c r="P1528" s="54">
        <v>0.162838125212657</v>
      </c>
    </row>
    <row r="1529" spans="1:16">
      <c r="A1529" t="s">
        <v>3779</v>
      </c>
      <c r="B1529" t="s">
        <v>38</v>
      </c>
      <c r="C1529" t="s">
        <v>3780</v>
      </c>
      <c r="D1529" t="s">
        <v>40</v>
      </c>
      <c r="E1529" t="s">
        <v>262</v>
      </c>
      <c r="F1529" t="s">
        <v>263</v>
      </c>
      <c r="G1529">
        <v>5</v>
      </c>
      <c r="H1529">
        <v>6310.28</v>
      </c>
      <c r="I1529">
        <v>0</v>
      </c>
      <c r="J1529">
        <v>31551.4</v>
      </c>
      <c r="K1529">
        <v>5438.47</v>
      </c>
      <c r="L1529">
        <v>2.3</v>
      </c>
      <c r="M1529" s="53">
        <v>45391</v>
      </c>
      <c r="N1529" t="s">
        <v>43</v>
      </c>
      <c r="O1529" t="s">
        <v>73</v>
      </c>
      <c r="P1529" s="54">
        <v>0.172368579524205</v>
      </c>
    </row>
    <row r="1530" spans="1:16">
      <c r="A1530" t="s">
        <v>3781</v>
      </c>
      <c r="B1530" t="s">
        <v>3782</v>
      </c>
      <c r="C1530" t="s">
        <v>3783</v>
      </c>
      <c r="D1530" t="s">
        <v>19</v>
      </c>
      <c r="E1530" t="s">
        <v>20</v>
      </c>
      <c r="F1530" t="s">
        <v>21</v>
      </c>
      <c r="G1530">
        <v>2</v>
      </c>
      <c r="H1530">
        <v>16028.95</v>
      </c>
      <c r="I1530">
        <v>0.2</v>
      </c>
      <c r="J1530">
        <v>25646.32</v>
      </c>
      <c r="K1530">
        <v>1912.55</v>
      </c>
      <c r="L1530">
        <v>3.5</v>
      </c>
      <c r="M1530" s="53">
        <v>44939</v>
      </c>
      <c r="N1530" t="s">
        <v>22</v>
      </c>
      <c r="O1530" t="s">
        <v>23</v>
      </c>
      <c r="P1530" s="54">
        <v>0.0745740519497534</v>
      </c>
    </row>
    <row r="1531" spans="1:16">
      <c r="A1531" t="s">
        <v>3784</v>
      </c>
      <c r="B1531" t="s">
        <v>217</v>
      </c>
      <c r="C1531" t="s">
        <v>3785</v>
      </c>
      <c r="D1531" t="s">
        <v>40</v>
      </c>
      <c r="E1531" t="s">
        <v>81</v>
      </c>
      <c r="F1531" t="s">
        <v>358</v>
      </c>
      <c r="G1531">
        <v>2</v>
      </c>
      <c r="H1531">
        <v>16139.12</v>
      </c>
      <c r="I1531">
        <v>0.1</v>
      </c>
      <c r="J1531">
        <v>29050.42</v>
      </c>
      <c r="K1531">
        <v>3137.85</v>
      </c>
      <c r="L1531">
        <v>1.7</v>
      </c>
      <c r="M1531" s="53">
        <v>45537</v>
      </c>
      <c r="N1531" t="s">
        <v>22</v>
      </c>
      <c r="O1531" t="s">
        <v>31</v>
      </c>
      <c r="P1531" s="54">
        <v>0.108013928886398</v>
      </c>
    </row>
    <row r="1532" spans="1:16">
      <c r="A1532" t="s">
        <v>3786</v>
      </c>
      <c r="B1532" t="s">
        <v>575</v>
      </c>
      <c r="C1532" t="s">
        <v>3787</v>
      </c>
      <c r="D1532" t="s">
        <v>19</v>
      </c>
      <c r="E1532" t="s">
        <v>86</v>
      </c>
      <c r="F1532" t="s">
        <v>182</v>
      </c>
      <c r="G1532">
        <v>1</v>
      </c>
      <c r="H1532">
        <v>7663.61</v>
      </c>
      <c r="I1532">
        <v>0.15</v>
      </c>
      <c r="J1532">
        <v>6514.07</v>
      </c>
      <c r="K1532">
        <v>824.52</v>
      </c>
      <c r="L1532">
        <v>2</v>
      </c>
      <c r="M1532" s="53">
        <v>44958</v>
      </c>
      <c r="N1532" t="s">
        <v>56</v>
      </c>
      <c r="O1532" t="s">
        <v>73</v>
      </c>
      <c r="P1532" s="54">
        <v>0.126575244048652</v>
      </c>
    </row>
    <row r="1533" spans="1:16">
      <c r="A1533" t="s">
        <v>3788</v>
      </c>
      <c r="B1533" t="s">
        <v>2828</v>
      </c>
      <c r="C1533" t="s">
        <v>3789</v>
      </c>
      <c r="D1533" t="s">
        <v>53</v>
      </c>
      <c r="E1533" t="s">
        <v>71</v>
      </c>
      <c r="F1533" t="s">
        <v>72</v>
      </c>
      <c r="G1533">
        <v>1</v>
      </c>
      <c r="H1533">
        <v>17283.65</v>
      </c>
      <c r="I1533">
        <v>0.15</v>
      </c>
      <c r="J1533">
        <v>14691.1</v>
      </c>
      <c r="K1533">
        <v>1044.5</v>
      </c>
      <c r="L1533">
        <v>2.5</v>
      </c>
      <c r="M1533" s="53">
        <v>44950</v>
      </c>
      <c r="N1533" t="s">
        <v>43</v>
      </c>
      <c r="O1533" t="s">
        <v>57</v>
      </c>
      <c r="P1533" s="54">
        <v>0.0710974671740033</v>
      </c>
    </row>
    <row r="1534" spans="1:16">
      <c r="A1534" t="s">
        <v>3790</v>
      </c>
      <c r="B1534" t="s">
        <v>2472</v>
      </c>
      <c r="C1534" t="s">
        <v>3791</v>
      </c>
      <c r="D1534" t="s">
        <v>40</v>
      </c>
      <c r="E1534" t="s">
        <v>41</v>
      </c>
      <c r="F1534" t="s">
        <v>42</v>
      </c>
      <c r="G1534">
        <v>2</v>
      </c>
      <c r="H1534">
        <v>16455.76</v>
      </c>
      <c r="I1534">
        <v>0.05</v>
      </c>
      <c r="J1534">
        <v>31265.94</v>
      </c>
      <c r="K1534">
        <v>7275.58</v>
      </c>
      <c r="L1534">
        <v>4.1</v>
      </c>
      <c r="M1534" s="53">
        <v>45399</v>
      </c>
      <c r="N1534" t="s">
        <v>22</v>
      </c>
      <c r="O1534" t="s">
        <v>73</v>
      </c>
      <c r="P1534" s="54">
        <v>0.23269986445314</v>
      </c>
    </row>
    <row r="1535" spans="1:16">
      <c r="A1535" t="s">
        <v>3792</v>
      </c>
      <c r="B1535" t="s">
        <v>1035</v>
      </c>
      <c r="C1535" t="s">
        <v>3793</v>
      </c>
      <c r="D1535" t="s">
        <v>19</v>
      </c>
      <c r="E1535" t="s">
        <v>20</v>
      </c>
      <c r="F1535" t="s">
        <v>454</v>
      </c>
      <c r="G1535">
        <v>2</v>
      </c>
      <c r="H1535">
        <v>4329.83</v>
      </c>
      <c r="I1535">
        <v>0.2</v>
      </c>
      <c r="J1535">
        <v>6927.73</v>
      </c>
      <c r="K1535">
        <v>1427.35</v>
      </c>
      <c r="L1535">
        <v>1.4</v>
      </c>
      <c r="M1535" s="53">
        <v>45155</v>
      </c>
      <c r="N1535" t="s">
        <v>22</v>
      </c>
      <c r="O1535" t="s">
        <v>57</v>
      </c>
      <c r="P1535" s="54">
        <v>0.206034299835588</v>
      </c>
    </row>
    <row r="1536" spans="1:16">
      <c r="A1536" t="s">
        <v>3794</v>
      </c>
      <c r="B1536" t="s">
        <v>3294</v>
      </c>
      <c r="C1536" t="s">
        <v>3795</v>
      </c>
      <c r="D1536" t="s">
        <v>19</v>
      </c>
      <c r="E1536" t="s">
        <v>35</v>
      </c>
      <c r="F1536" t="s">
        <v>245</v>
      </c>
      <c r="G1536">
        <v>3</v>
      </c>
      <c r="H1536">
        <v>9303.49</v>
      </c>
      <c r="I1536">
        <v>0</v>
      </c>
      <c r="J1536">
        <v>27910.47</v>
      </c>
      <c r="K1536">
        <v>4523.86</v>
      </c>
      <c r="L1536">
        <v>2.5</v>
      </c>
      <c r="M1536" s="53">
        <v>45218</v>
      </c>
      <c r="N1536" t="s">
        <v>30</v>
      </c>
      <c r="O1536" t="s">
        <v>23</v>
      </c>
      <c r="P1536" s="54">
        <v>0.162084694381714</v>
      </c>
    </row>
    <row r="1537" spans="1:16">
      <c r="A1537" t="s">
        <v>3796</v>
      </c>
      <c r="B1537" t="s">
        <v>145</v>
      </c>
      <c r="C1537" t="s">
        <v>2751</v>
      </c>
      <c r="D1537" t="s">
        <v>19</v>
      </c>
      <c r="E1537" t="s">
        <v>129</v>
      </c>
      <c r="F1537" t="s">
        <v>320</v>
      </c>
      <c r="G1537">
        <v>3</v>
      </c>
      <c r="H1537">
        <v>4654.42</v>
      </c>
      <c r="I1537">
        <v>0.15</v>
      </c>
      <c r="J1537">
        <v>11868.77</v>
      </c>
      <c r="K1537">
        <v>2056.54</v>
      </c>
      <c r="L1537">
        <v>2.6</v>
      </c>
      <c r="M1537" s="53">
        <v>45415</v>
      </c>
      <c r="N1537" t="s">
        <v>22</v>
      </c>
      <c r="O1537" t="s">
        <v>23</v>
      </c>
      <c r="P1537" s="54">
        <v>0.173273220392678</v>
      </c>
    </row>
    <row r="1538" spans="1:16">
      <c r="A1538" t="s">
        <v>3797</v>
      </c>
      <c r="B1538" t="s">
        <v>3035</v>
      </c>
      <c r="C1538" t="s">
        <v>3798</v>
      </c>
      <c r="D1538" t="s">
        <v>40</v>
      </c>
      <c r="E1538" t="s">
        <v>41</v>
      </c>
      <c r="F1538" t="s">
        <v>125</v>
      </c>
      <c r="G1538">
        <v>3</v>
      </c>
      <c r="H1538">
        <v>12766.56</v>
      </c>
      <c r="I1538">
        <v>0.1</v>
      </c>
      <c r="J1538">
        <v>34469.71</v>
      </c>
      <c r="K1538">
        <v>2327.76</v>
      </c>
      <c r="L1538">
        <v>2.1</v>
      </c>
      <c r="M1538" s="53">
        <v>44973</v>
      </c>
      <c r="N1538" t="s">
        <v>30</v>
      </c>
      <c r="O1538" t="s">
        <v>73</v>
      </c>
      <c r="P1538" s="54">
        <v>0.067530594252171</v>
      </c>
    </row>
    <row r="1539" spans="1:16">
      <c r="A1539" t="s">
        <v>3799</v>
      </c>
      <c r="B1539" t="s">
        <v>3800</v>
      </c>
      <c r="C1539" t="s">
        <v>3801</v>
      </c>
      <c r="D1539" t="s">
        <v>19</v>
      </c>
      <c r="E1539" t="s">
        <v>20</v>
      </c>
      <c r="F1539" t="s">
        <v>121</v>
      </c>
      <c r="G1539">
        <v>1</v>
      </c>
      <c r="H1539">
        <v>9926.18</v>
      </c>
      <c r="I1539">
        <v>0.2</v>
      </c>
      <c r="J1539">
        <v>7940.94</v>
      </c>
      <c r="K1539">
        <v>1646.23</v>
      </c>
      <c r="L1539">
        <v>2.6</v>
      </c>
      <c r="M1539" s="53">
        <v>45339</v>
      </c>
      <c r="N1539" t="s">
        <v>30</v>
      </c>
      <c r="O1539" t="s">
        <v>57</v>
      </c>
      <c r="P1539" s="54">
        <v>0.207309210244631</v>
      </c>
    </row>
    <row r="1540" spans="1:16">
      <c r="A1540" t="s">
        <v>3802</v>
      </c>
      <c r="B1540" t="s">
        <v>187</v>
      </c>
      <c r="C1540" t="s">
        <v>3803</v>
      </c>
      <c r="D1540" t="s">
        <v>53</v>
      </c>
      <c r="E1540" t="s">
        <v>95</v>
      </c>
      <c r="F1540" t="s">
        <v>306</v>
      </c>
      <c r="G1540">
        <v>4</v>
      </c>
      <c r="H1540">
        <v>15159.42</v>
      </c>
      <c r="I1540">
        <v>0.2</v>
      </c>
      <c r="J1540">
        <v>48510.14</v>
      </c>
      <c r="K1540">
        <v>12065.3</v>
      </c>
      <c r="L1540">
        <v>4.3</v>
      </c>
      <c r="M1540" s="53">
        <v>45466</v>
      </c>
      <c r="N1540" t="s">
        <v>22</v>
      </c>
      <c r="O1540" t="s">
        <v>31</v>
      </c>
      <c r="P1540" s="54">
        <v>0.248717072348173</v>
      </c>
    </row>
    <row r="1541" spans="1:16">
      <c r="A1541" t="s">
        <v>3804</v>
      </c>
      <c r="B1541" t="s">
        <v>3800</v>
      </c>
      <c r="C1541" t="s">
        <v>3805</v>
      </c>
      <c r="D1541" t="s">
        <v>19</v>
      </c>
      <c r="E1541" t="s">
        <v>86</v>
      </c>
      <c r="F1541" t="s">
        <v>320</v>
      </c>
      <c r="G1541">
        <v>1</v>
      </c>
      <c r="H1541">
        <v>8632.26</v>
      </c>
      <c r="I1541">
        <v>0.2</v>
      </c>
      <c r="J1541">
        <v>6905.81</v>
      </c>
      <c r="K1541">
        <v>1230.61</v>
      </c>
      <c r="L1541">
        <v>1.8</v>
      </c>
      <c r="M1541" s="53">
        <v>45135</v>
      </c>
      <c r="N1541" t="s">
        <v>30</v>
      </c>
      <c r="O1541" t="s">
        <v>73</v>
      </c>
      <c r="P1541" s="54">
        <v>0.178199226448454</v>
      </c>
    </row>
    <row r="1542" spans="1:16">
      <c r="A1542" t="s">
        <v>3806</v>
      </c>
      <c r="B1542" t="s">
        <v>516</v>
      </c>
      <c r="C1542" t="s">
        <v>3807</v>
      </c>
      <c r="D1542" t="s">
        <v>40</v>
      </c>
      <c r="E1542" t="s">
        <v>81</v>
      </c>
      <c r="F1542" t="s">
        <v>263</v>
      </c>
      <c r="G1542">
        <v>5</v>
      </c>
      <c r="H1542">
        <v>15044.1</v>
      </c>
      <c r="I1542">
        <v>0</v>
      </c>
      <c r="J1542">
        <v>75220.5</v>
      </c>
      <c r="K1542">
        <v>14747.68</v>
      </c>
      <c r="L1542">
        <v>4.5</v>
      </c>
      <c r="M1542" s="53">
        <v>45059</v>
      </c>
      <c r="N1542" t="s">
        <v>56</v>
      </c>
      <c r="O1542" t="s">
        <v>31</v>
      </c>
      <c r="P1542" s="54">
        <v>0.196059318935663</v>
      </c>
    </row>
    <row r="1543" spans="1:16">
      <c r="A1543" t="s">
        <v>3808</v>
      </c>
      <c r="B1543" t="s">
        <v>2002</v>
      </c>
      <c r="C1543" t="s">
        <v>3809</v>
      </c>
      <c r="D1543" t="s">
        <v>27</v>
      </c>
      <c r="E1543" t="s">
        <v>117</v>
      </c>
      <c r="F1543" t="s">
        <v>118</v>
      </c>
      <c r="G1543">
        <v>1</v>
      </c>
      <c r="H1543">
        <v>2933.98</v>
      </c>
      <c r="I1543">
        <v>0.05</v>
      </c>
      <c r="J1543">
        <v>2787.28</v>
      </c>
      <c r="K1543">
        <v>310.53</v>
      </c>
      <c r="L1543">
        <v>2.1</v>
      </c>
      <c r="M1543" s="53">
        <v>45186</v>
      </c>
      <c r="N1543" t="s">
        <v>30</v>
      </c>
      <c r="O1543" t="s">
        <v>73</v>
      </c>
      <c r="P1543" s="54">
        <v>0.11140968973336</v>
      </c>
    </row>
    <row r="1544" spans="1:16">
      <c r="A1544" t="s">
        <v>3810</v>
      </c>
      <c r="B1544" t="s">
        <v>2030</v>
      </c>
      <c r="C1544" t="s">
        <v>3811</v>
      </c>
      <c r="D1544" t="s">
        <v>53</v>
      </c>
      <c r="E1544" t="s">
        <v>54</v>
      </c>
      <c r="F1544" t="s">
        <v>258</v>
      </c>
      <c r="G1544">
        <v>2</v>
      </c>
      <c r="H1544">
        <v>4945.61</v>
      </c>
      <c r="I1544">
        <v>0.2</v>
      </c>
      <c r="J1544">
        <v>7912.98</v>
      </c>
      <c r="K1544">
        <v>702.46</v>
      </c>
      <c r="L1544">
        <v>2.2</v>
      </c>
      <c r="M1544" s="53">
        <v>45203</v>
      </c>
      <c r="N1544" t="s">
        <v>30</v>
      </c>
      <c r="O1544" t="s">
        <v>73</v>
      </c>
      <c r="P1544" s="54">
        <v>0.0887731297185131</v>
      </c>
    </row>
    <row r="1545" spans="1:16">
      <c r="A1545" t="s">
        <v>3812</v>
      </c>
      <c r="B1545" t="s">
        <v>2763</v>
      </c>
      <c r="C1545" t="s">
        <v>3813</v>
      </c>
      <c r="D1545" t="s">
        <v>40</v>
      </c>
      <c r="E1545" t="s">
        <v>174</v>
      </c>
      <c r="F1545" t="s">
        <v>175</v>
      </c>
      <c r="G1545">
        <v>3</v>
      </c>
      <c r="H1545">
        <v>18731.33</v>
      </c>
      <c r="I1545">
        <v>0.1</v>
      </c>
      <c r="J1545">
        <v>50574.59</v>
      </c>
      <c r="K1545">
        <v>11010.75</v>
      </c>
      <c r="L1545">
        <v>4.6</v>
      </c>
      <c r="M1545" s="53">
        <v>45261</v>
      </c>
      <c r="N1545" t="s">
        <v>30</v>
      </c>
      <c r="O1545" t="s">
        <v>73</v>
      </c>
      <c r="P1545" s="54">
        <v>0.217713084772412</v>
      </c>
    </row>
    <row r="1546" spans="1:16">
      <c r="A1546" t="s">
        <v>3814</v>
      </c>
      <c r="B1546" t="s">
        <v>2923</v>
      </c>
      <c r="C1546" t="s">
        <v>3815</v>
      </c>
      <c r="D1546" t="s">
        <v>27</v>
      </c>
      <c r="E1546" t="s">
        <v>117</v>
      </c>
      <c r="F1546" t="s">
        <v>192</v>
      </c>
      <c r="G1546">
        <v>1</v>
      </c>
      <c r="H1546">
        <v>960.67</v>
      </c>
      <c r="I1546">
        <v>0.1</v>
      </c>
      <c r="J1546">
        <v>864.6</v>
      </c>
      <c r="K1546">
        <v>98.23</v>
      </c>
      <c r="L1546">
        <v>3.7</v>
      </c>
      <c r="M1546" s="53">
        <v>45226</v>
      </c>
      <c r="N1546" t="s">
        <v>22</v>
      </c>
      <c r="O1546" t="s">
        <v>31</v>
      </c>
      <c r="P1546" s="54">
        <v>0.113613231552163</v>
      </c>
    </row>
    <row r="1547" spans="1:16">
      <c r="A1547" t="s">
        <v>3816</v>
      </c>
      <c r="B1547" t="s">
        <v>1765</v>
      </c>
      <c r="C1547" t="s">
        <v>3783</v>
      </c>
      <c r="D1547" t="s">
        <v>53</v>
      </c>
      <c r="E1547" t="s">
        <v>71</v>
      </c>
      <c r="F1547" t="s">
        <v>72</v>
      </c>
      <c r="G1547">
        <v>5</v>
      </c>
      <c r="H1547">
        <v>10090.11</v>
      </c>
      <c r="I1547">
        <v>0</v>
      </c>
      <c r="J1547">
        <v>50450.55</v>
      </c>
      <c r="K1547">
        <v>8503.81</v>
      </c>
      <c r="L1547">
        <v>4.3</v>
      </c>
      <c r="M1547" s="53">
        <v>45650</v>
      </c>
      <c r="N1547" t="s">
        <v>56</v>
      </c>
      <c r="O1547" t="s">
        <v>31</v>
      </c>
      <c r="P1547" s="54">
        <v>0.168557329900269</v>
      </c>
    </row>
    <row r="1548" spans="1:16">
      <c r="A1548" t="s">
        <v>3817</v>
      </c>
      <c r="B1548" t="s">
        <v>1768</v>
      </c>
      <c r="C1548" t="s">
        <v>3818</v>
      </c>
      <c r="D1548" t="s">
        <v>40</v>
      </c>
      <c r="E1548" t="s">
        <v>174</v>
      </c>
      <c r="F1548" t="s">
        <v>313</v>
      </c>
      <c r="G1548">
        <v>1</v>
      </c>
      <c r="H1548">
        <v>13075.54</v>
      </c>
      <c r="I1548">
        <v>0.05</v>
      </c>
      <c r="J1548">
        <v>12421.76</v>
      </c>
      <c r="K1548">
        <v>920.51</v>
      </c>
      <c r="L1548">
        <v>1.2</v>
      </c>
      <c r="M1548" s="53">
        <v>45589</v>
      </c>
      <c r="N1548" t="s">
        <v>56</v>
      </c>
      <c r="O1548" t="s">
        <v>73</v>
      </c>
      <c r="P1548" s="54">
        <v>0.0741046357359988</v>
      </c>
    </row>
    <row r="1549" spans="1:16">
      <c r="A1549" t="s">
        <v>3819</v>
      </c>
      <c r="B1549" t="s">
        <v>3726</v>
      </c>
      <c r="C1549" t="s">
        <v>3820</v>
      </c>
      <c r="D1549" t="s">
        <v>40</v>
      </c>
      <c r="E1549" t="s">
        <v>81</v>
      </c>
      <c r="F1549" t="s">
        <v>241</v>
      </c>
      <c r="G1549">
        <v>4</v>
      </c>
      <c r="H1549">
        <v>14518.01</v>
      </c>
      <c r="I1549">
        <v>0.05</v>
      </c>
      <c r="J1549">
        <v>55168.44</v>
      </c>
      <c r="K1549">
        <v>9006.62</v>
      </c>
      <c r="L1549">
        <v>2.3</v>
      </c>
      <c r="M1549" s="53">
        <v>45326</v>
      </c>
      <c r="N1549" t="s">
        <v>43</v>
      </c>
      <c r="O1549" t="s">
        <v>31</v>
      </c>
      <c r="P1549" s="54">
        <v>0.163256746067135</v>
      </c>
    </row>
    <row r="1550" spans="1:16">
      <c r="A1550" t="s">
        <v>3821</v>
      </c>
      <c r="B1550" t="s">
        <v>3822</v>
      </c>
      <c r="C1550" t="s">
        <v>3823</v>
      </c>
      <c r="D1550" t="s">
        <v>27</v>
      </c>
      <c r="E1550" t="s">
        <v>48</v>
      </c>
      <c r="F1550" t="s">
        <v>583</v>
      </c>
      <c r="G1550">
        <v>5</v>
      </c>
      <c r="H1550">
        <v>7419.68</v>
      </c>
      <c r="I1550">
        <v>0.15</v>
      </c>
      <c r="J1550">
        <v>31533.64</v>
      </c>
      <c r="K1550">
        <v>3639.13</v>
      </c>
      <c r="L1550">
        <v>4.7</v>
      </c>
      <c r="M1550" s="53">
        <v>45122</v>
      </c>
      <c r="N1550" t="s">
        <v>43</v>
      </c>
      <c r="O1550" t="s">
        <v>44</v>
      </c>
      <c r="P1550" s="54">
        <v>0.115404691624564</v>
      </c>
    </row>
    <row r="1551" spans="1:16">
      <c r="A1551" t="s">
        <v>3824</v>
      </c>
      <c r="B1551" t="s">
        <v>1278</v>
      </c>
      <c r="C1551" t="s">
        <v>3825</v>
      </c>
      <c r="D1551" t="s">
        <v>53</v>
      </c>
      <c r="E1551" t="s">
        <v>54</v>
      </c>
      <c r="F1551" t="s">
        <v>258</v>
      </c>
      <c r="G1551">
        <v>5</v>
      </c>
      <c r="H1551">
        <v>1053.81</v>
      </c>
      <c r="I1551">
        <v>0.2</v>
      </c>
      <c r="J1551">
        <v>4215.24</v>
      </c>
      <c r="K1551">
        <v>658.15</v>
      </c>
      <c r="L1551">
        <v>1.6</v>
      </c>
      <c r="M1551" s="53">
        <v>45452</v>
      </c>
      <c r="N1551" t="s">
        <v>22</v>
      </c>
      <c r="O1551" t="s">
        <v>57</v>
      </c>
      <c r="P1551" s="54">
        <v>0.156135830937266</v>
      </c>
    </row>
    <row r="1552" spans="1:16">
      <c r="A1552" t="s">
        <v>3826</v>
      </c>
      <c r="B1552" t="s">
        <v>1804</v>
      </c>
      <c r="C1552" t="s">
        <v>3827</v>
      </c>
      <c r="D1552" t="s">
        <v>53</v>
      </c>
      <c r="E1552" t="s">
        <v>95</v>
      </c>
      <c r="F1552" t="s">
        <v>96</v>
      </c>
      <c r="G1552">
        <v>5</v>
      </c>
      <c r="H1552">
        <v>16061.54</v>
      </c>
      <c r="I1552">
        <v>0</v>
      </c>
      <c r="J1552">
        <v>80307.7</v>
      </c>
      <c r="K1552">
        <v>6904.83</v>
      </c>
      <c r="L1552">
        <v>3.6</v>
      </c>
      <c r="M1552" s="53">
        <v>45124</v>
      </c>
      <c r="N1552" t="s">
        <v>56</v>
      </c>
      <c r="O1552" t="s">
        <v>73</v>
      </c>
      <c r="P1552" s="54">
        <v>0.0859796756724449</v>
      </c>
    </row>
    <row r="1553" spans="1:16">
      <c r="A1553" t="s">
        <v>3828</v>
      </c>
      <c r="B1553" t="s">
        <v>809</v>
      </c>
      <c r="C1553" t="s">
        <v>3829</v>
      </c>
      <c r="D1553" t="s">
        <v>19</v>
      </c>
      <c r="E1553" t="s">
        <v>86</v>
      </c>
      <c r="F1553" t="s">
        <v>182</v>
      </c>
      <c r="G1553">
        <v>1</v>
      </c>
      <c r="H1553">
        <v>12922.7</v>
      </c>
      <c r="I1553">
        <v>0</v>
      </c>
      <c r="J1553">
        <v>12922.7</v>
      </c>
      <c r="K1553">
        <v>2686.57</v>
      </c>
      <c r="L1553">
        <v>2.2</v>
      </c>
      <c r="M1553" s="53">
        <v>45603</v>
      </c>
      <c r="N1553" t="s">
        <v>30</v>
      </c>
      <c r="O1553" t="s">
        <v>44</v>
      </c>
      <c r="P1553" s="54">
        <v>0.207895408854187</v>
      </c>
    </row>
    <row r="1554" spans="1:16">
      <c r="A1554" t="s">
        <v>3830</v>
      </c>
      <c r="B1554" t="s">
        <v>1543</v>
      </c>
      <c r="C1554" t="s">
        <v>3831</v>
      </c>
      <c r="D1554" t="s">
        <v>40</v>
      </c>
      <c r="E1554" t="s">
        <v>81</v>
      </c>
      <c r="F1554" t="s">
        <v>263</v>
      </c>
      <c r="G1554">
        <v>3</v>
      </c>
      <c r="H1554">
        <v>5068.41</v>
      </c>
      <c r="I1554">
        <v>0.1</v>
      </c>
      <c r="J1554">
        <v>13684.71</v>
      </c>
      <c r="K1554">
        <v>2755.84</v>
      </c>
      <c r="L1554">
        <v>1.9</v>
      </c>
      <c r="M1554" s="53">
        <v>45141</v>
      </c>
      <c r="N1554" t="s">
        <v>22</v>
      </c>
      <c r="O1554" t="s">
        <v>23</v>
      </c>
      <c r="P1554" s="54">
        <v>0.201380957287367</v>
      </c>
    </row>
    <row r="1555" spans="1:16">
      <c r="A1555" t="s">
        <v>3832</v>
      </c>
      <c r="B1555" t="s">
        <v>3270</v>
      </c>
      <c r="C1555" t="s">
        <v>3833</v>
      </c>
      <c r="D1555" t="s">
        <v>40</v>
      </c>
      <c r="E1555" t="s">
        <v>174</v>
      </c>
      <c r="F1555" t="s">
        <v>313</v>
      </c>
      <c r="G1555">
        <v>5</v>
      </c>
      <c r="H1555">
        <v>555.39</v>
      </c>
      <c r="I1555">
        <v>0.05</v>
      </c>
      <c r="J1555">
        <v>2638.1</v>
      </c>
      <c r="K1555">
        <v>133.18</v>
      </c>
      <c r="L1555">
        <v>2.6</v>
      </c>
      <c r="M1555" s="53">
        <v>45006</v>
      </c>
      <c r="N1555" t="s">
        <v>30</v>
      </c>
      <c r="O1555" t="s">
        <v>31</v>
      </c>
      <c r="P1555" s="54">
        <v>0.0504833023767105</v>
      </c>
    </row>
    <row r="1556" spans="1:16">
      <c r="A1556" t="s">
        <v>3834</v>
      </c>
      <c r="B1556" t="s">
        <v>3835</v>
      </c>
      <c r="C1556" t="s">
        <v>3836</v>
      </c>
      <c r="D1556" t="s">
        <v>19</v>
      </c>
      <c r="E1556" t="s">
        <v>35</v>
      </c>
      <c r="F1556" t="s">
        <v>121</v>
      </c>
      <c r="G1556">
        <v>4</v>
      </c>
      <c r="H1556">
        <v>13697.7</v>
      </c>
      <c r="I1556">
        <v>0.1</v>
      </c>
      <c r="J1556">
        <v>49311.72</v>
      </c>
      <c r="K1556">
        <v>8007.43</v>
      </c>
      <c r="L1556">
        <v>1.9</v>
      </c>
      <c r="M1556" s="53">
        <v>45131</v>
      </c>
      <c r="N1556" t="s">
        <v>22</v>
      </c>
      <c r="O1556" t="s">
        <v>73</v>
      </c>
      <c r="P1556" s="54">
        <v>0.162383911978735</v>
      </c>
    </row>
    <row r="1557" spans="1:16">
      <c r="A1557" t="s">
        <v>3837</v>
      </c>
      <c r="B1557" t="s">
        <v>3187</v>
      </c>
      <c r="C1557" t="s">
        <v>3119</v>
      </c>
      <c r="D1557" t="s">
        <v>19</v>
      </c>
      <c r="E1557" t="s">
        <v>129</v>
      </c>
      <c r="F1557" t="s">
        <v>130</v>
      </c>
      <c r="G1557">
        <v>4</v>
      </c>
      <c r="H1557">
        <v>15083.79</v>
      </c>
      <c r="I1557">
        <v>0.15</v>
      </c>
      <c r="J1557">
        <v>51284.89</v>
      </c>
      <c r="K1557">
        <v>5796.81</v>
      </c>
      <c r="L1557">
        <v>3.6</v>
      </c>
      <c r="M1557" s="53">
        <v>45559</v>
      </c>
      <c r="N1557" t="s">
        <v>30</v>
      </c>
      <c r="O1557" t="s">
        <v>31</v>
      </c>
      <c r="P1557" s="54">
        <v>0.113031538139206</v>
      </c>
    </row>
    <row r="1558" spans="1:16">
      <c r="A1558" t="s">
        <v>3838</v>
      </c>
      <c r="B1558" t="s">
        <v>3839</v>
      </c>
      <c r="C1558" t="s">
        <v>3840</v>
      </c>
      <c r="D1558" t="s">
        <v>27</v>
      </c>
      <c r="E1558" t="s">
        <v>48</v>
      </c>
      <c r="F1558" t="s">
        <v>64</v>
      </c>
      <c r="G1558">
        <v>2</v>
      </c>
      <c r="H1558">
        <v>14651.98</v>
      </c>
      <c r="I1558">
        <v>0.2</v>
      </c>
      <c r="J1558">
        <v>23443.17</v>
      </c>
      <c r="K1558">
        <v>4062.09</v>
      </c>
      <c r="L1558">
        <v>4.2</v>
      </c>
      <c r="M1558" s="53">
        <v>45315</v>
      </c>
      <c r="N1558" t="s">
        <v>30</v>
      </c>
      <c r="O1558" t="s">
        <v>23</v>
      </c>
      <c r="P1558" s="54">
        <v>0.173273921572893</v>
      </c>
    </row>
    <row r="1559" spans="1:16">
      <c r="A1559" t="s">
        <v>3841</v>
      </c>
      <c r="B1559" t="s">
        <v>2926</v>
      </c>
      <c r="C1559" t="s">
        <v>3027</v>
      </c>
      <c r="D1559" t="s">
        <v>19</v>
      </c>
      <c r="E1559" t="s">
        <v>129</v>
      </c>
      <c r="F1559" t="s">
        <v>167</v>
      </c>
      <c r="G1559">
        <v>3</v>
      </c>
      <c r="H1559">
        <v>3810.07</v>
      </c>
      <c r="I1559">
        <v>0.2</v>
      </c>
      <c r="J1559">
        <v>9144.17</v>
      </c>
      <c r="K1559">
        <v>1993.26</v>
      </c>
      <c r="L1559">
        <v>1.1</v>
      </c>
      <c r="M1559" s="53">
        <v>45426</v>
      </c>
      <c r="N1559" t="s">
        <v>22</v>
      </c>
      <c r="O1559" t="s">
        <v>44</v>
      </c>
      <c r="P1559" s="54">
        <v>0.217981511717302</v>
      </c>
    </row>
    <row r="1560" spans="1:16">
      <c r="A1560" t="s">
        <v>3842</v>
      </c>
      <c r="B1560" t="s">
        <v>1914</v>
      </c>
      <c r="C1560" t="s">
        <v>3843</v>
      </c>
      <c r="D1560" t="s">
        <v>19</v>
      </c>
      <c r="E1560" t="s">
        <v>35</v>
      </c>
      <c r="F1560" t="s">
        <v>121</v>
      </c>
      <c r="G1560">
        <v>3</v>
      </c>
      <c r="H1560">
        <v>1794.23</v>
      </c>
      <c r="I1560">
        <v>0.15</v>
      </c>
      <c r="J1560">
        <v>4575.29</v>
      </c>
      <c r="K1560">
        <v>241.13</v>
      </c>
      <c r="L1560">
        <v>2.9</v>
      </c>
      <c r="M1560" s="53">
        <v>45182</v>
      </c>
      <c r="N1560" t="s">
        <v>56</v>
      </c>
      <c r="O1560" t="s">
        <v>23</v>
      </c>
      <c r="P1560" s="54">
        <v>0.0527026702132542</v>
      </c>
    </row>
    <row r="1561" spans="1:16">
      <c r="A1561" t="s">
        <v>3844</v>
      </c>
      <c r="B1561" t="s">
        <v>51</v>
      </c>
      <c r="C1561" t="s">
        <v>237</v>
      </c>
      <c r="D1561" t="s">
        <v>40</v>
      </c>
      <c r="E1561" t="s">
        <v>262</v>
      </c>
      <c r="F1561" t="s">
        <v>345</v>
      </c>
      <c r="G1561">
        <v>4</v>
      </c>
      <c r="H1561">
        <v>18819.58</v>
      </c>
      <c r="I1561">
        <v>0.05</v>
      </c>
      <c r="J1561">
        <v>71514.4</v>
      </c>
      <c r="K1561">
        <v>15602.58</v>
      </c>
      <c r="L1561">
        <v>2.3</v>
      </c>
      <c r="M1561" s="53">
        <v>45292</v>
      </c>
      <c r="N1561" t="s">
        <v>30</v>
      </c>
      <c r="O1561" t="s">
        <v>23</v>
      </c>
      <c r="P1561" s="54">
        <v>0.21817396216706</v>
      </c>
    </row>
    <row r="1562" spans="1:16">
      <c r="A1562" t="s">
        <v>3845</v>
      </c>
      <c r="B1562" t="s">
        <v>636</v>
      </c>
      <c r="C1562" t="s">
        <v>3846</v>
      </c>
      <c r="D1562" t="s">
        <v>40</v>
      </c>
      <c r="E1562" t="s">
        <v>174</v>
      </c>
      <c r="F1562" t="s">
        <v>175</v>
      </c>
      <c r="G1562">
        <v>4</v>
      </c>
      <c r="H1562">
        <v>10339.66</v>
      </c>
      <c r="I1562">
        <v>0.1</v>
      </c>
      <c r="J1562">
        <v>37222.78</v>
      </c>
      <c r="K1562">
        <v>4767.78</v>
      </c>
      <c r="L1562">
        <v>2.7</v>
      </c>
      <c r="M1562" s="53">
        <v>45656</v>
      </c>
      <c r="N1562" t="s">
        <v>43</v>
      </c>
      <c r="O1562" t="s">
        <v>73</v>
      </c>
      <c r="P1562" s="54">
        <v>0.128087692536667</v>
      </c>
    </row>
    <row r="1563" spans="1:16">
      <c r="A1563" t="s">
        <v>3847</v>
      </c>
      <c r="B1563" t="s">
        <v>3848</v>
      </c>
      <c r="C1563" t="s">
        <v>3849</v>
      </c>
      <c r="D1563" t="s">
        <v>19</v>
      </c>
      <c r="E1563" t="s">
        <v>20</v>
      </c>
      <c r="F1563" t="s">
        <v>454</v>
      </c>
      <c r="G1563">
        <v>2</v>
      </c>
      <c r="H1563">
        <v>16591.72</v>
      </c>
      <c r="I1563">
        <v>0.1</v>
      </c>
      <c r="J1563">
        <v>29865.1</v>
      </c>
      <c r="K1563">
        <v>3261.32</v>
      </c>
      <c r="L1563">
        <v>1.9</v>
      </c>
      <c r="M1563" s="53">
        <v>45054</v>
      </c>
      <c r="N1563" t="s">
        <v>22</v>
      </c>
      <c r="O1563" t="s">
        <v>73</v>
      </c>
      <c r="P1563" s="54">
        <v>0.109201710357575</v>
      </c>
    </row>
    <row r="1564" spans="1:16">
      <c r="A1564" t="s">
        <v>3850</v>
      </c>
      <c r="B1564" t="s">
        <v>432</v>
      </c>
      <c r="C1564" t="s">
        <v>3851</v>
      </c>
      <c r="D1564" t="s">
        <v>27</v>
      </c>
      <c r="E1564" t="s">
        <v>117</v>
      </c>
      <c r="F1564" t="s">
        <v>225</v>
      </c>
      <c r="G1564">
        <v>4</v>
      </c>
      <c r="H1564">
        <v>17326</v>
      </c>
      <c r="I1564">
        <v>0.05</v>
      </c>
      <c r="J1564">
        <v>65838.8</v>
      </c>
      <c r="K1564">
        <v>15551.63</v>
      </c>
      <c r="L1564">
        <v>1.9</v>
      </c>
      <c r="M1564" s="53">
        <v>45655</v>
      </c>
      <c r="N1564" t="s">
        <v>30</v>
      </c>
      <c r="O1564" t="s">
        <v>73</v>
      </c>
      <c r="P1564" s="54">
        <v>0.236207676932143</v>
      </c>
    </row>
    <row r="1565" spans="1:16">
      <c r="A1565" t="s">
        <v>3852</v>
      </c>
      <c r="B1565" t="s">
        <v>2823</v>
      </c>
      <c r="C1565" t="s">
        <v>3538</v>
      </c>
      <c r="D1565" t="s">
        <v>40</v>
      </c>
      <c r="E1565" t="s">
        <v>81</v>
      </c>
      <c r="F1565" t="s">
        <v>82</v>
      </c>
      <c r="G1565">
        <v>1</v>
      </c>
      <c r="H1565">
        <v>17819.29</v>
      </c>
      <c r="I1565">
        <v>0.2</v>
      </c>
      <c r="J1565">
        <v>14255.43</v>
      </c>
      <c r="K1565">
        <v>1375.07</v>
      </c>
      <c r="L1565">
        <v>4.7</v>
      </c>
      <c r="M1565" s="53">
        <v>45438</v>
      </c>
      <c r="N1565" t="s">
        <v>56</v>
      </c>
      <c r="O1565" t="s">
        <v>31</v>
      </c>
      <c r="P1565" s="54">
        <v>0.0964593842486687</v>
      </c>
    </row>
    <row r="1566" spans="1:16">
      <c r="A1566" t="s">
        <v>3853</v>
      </c>
      <c r="B1566" t="s">
        <v>2280</v>
      </c>
      <c r="C1566" t="s">
        <v>3854</v>
      </c>
      <c r="D1566" t="s">
        <v>40</v>
      </c>
      <c r="E1566" t="s">
        <v>41</v>
      </c>
      <c r="F1566" t="s">
        <v>125</v>
      </c>
      <c r="G1566">
        <v>1</v>
      </c>
      <c r="H1566">
        <v>9396.27</v>
      </c>
      <c r="I1566">
        <v>0</v>
      </c>
      <c r="J1566">
        <v>9396.27</v>
      </c>
      <c r="K1566">
        <v>785.98</v>
      </c>
      <c r="L1566">
        <v>3.6</v>
      </c>
      <c r="M1566" s="53">
        <v>45648</v>
      </c>
      <c r="N1566" t="s">
        <v>43</v>
      </c>
      <c r="O1566" t="s">
        <v>44</v>
      </c>
      <c r="P1566" s="54">
        <v>0.0836480858894008</v>
      </c>
    </row>
    <row r="1567" spans="1:16">
      <c r="A1567" t="s">
        <v>3855</v>
      </c>
      <c r="B1567" t="s">
        <v>1898</v>
      </c>
      <c r="C1567" t="s">
        <v>3856</v>
      </c>
      <c r="D1567" t="s">
        <v>19</v>
      </c>
      <c r="E1567" t="s">
        <v>35</v>
      </c>
      <c r="F1567" t="s">
        <v>215</v>
      </c>
      <c r="G1567">
        <v>3</v>
      </c>
      <c r="H1567">
        <v>13816.61</v>
      </c>
      <c r="I1567">
        <v>0.15</v>
      </c>
      <c r="J1567">
        <v>35232.36</v>
      </c>
      <c r="K1567">
        <v>4817.49</v>
      </c>
      <c r="L1567">
        <v>4.3</v>
      </c>
      <c r="M1567" s="53">
        <v>45276</v>
      </c>
      <c r="N1567" t="s">
        <v>30</v>
      </c>
      <c r="O1567" t="s">
        <v>57</v>
      </c>
      <c r="P1567" s="54">
        <v>0.136734808568032</v>
      </c>
    </row>
    <row r="1568" spans="1:16">
      <c r="A1568" t="s">
        <v>3857</v>
      </c>
      <c r="B1568" t="s">
        <v>1789</v>
      </c>
      <c r="C1568" t="s">
        <v>3858</v>
      </c>
      <c r="D1568" t="s">
        <v>27</v>
      </c>
      <c r="E1568" t="s">
        <v>48</v>
      </c>
      <c r="F1568" t="s">
        <v>64</v>
      </c>
      <c r="G1568">
        <v>3</v>
      </c>
      <c r="H1568">
        <v>17725.14</v>
      </c>
      <c r="I1568">
        <v>0.2</v>
      </c>
      <c r="J1568">
        <v>42540.34</v>
      </c>
      <c r="K1568">
        <v>9413.64</v>
      </c>
      <c r="L1568">
        <v>4.7</v>
      </c>
      <c r="M1568" s="53">
        <v>45435</v>
      </c>
      <c r="N1568" t="s">
        <v>22</v>
      </c>
      <c r="O1568" t="s">
        <v>31</v>
      </c>
      <c r="P1568" s="54">
        <v>0.221287370998915</v>
      </c>
    </row>
    <row r="1569" spans="1:16">
      <c r="A1569" t="s">
        <v>3859</v>
      </c>
      <c r="B1569" t="s">
        <v>3860</v>
      </c>
      <c r="C1569" t="s">
        <v>3861</v>
      </c>
      <c r="D1569" t="s">
        <v>53</v>
      </c>
      <c r="E1569" t="s">
        <v>100</v>
      </c>
      <c r="F1569" t="s">
        <v>271</v>
      </c>
      <c r="G1569">
        <v>2</v>
      </c>
      <c r="H1569">
        <v>964.63</v>
      </c>
      <c r="I1569">
        <v>0.1</v>
      </c>
      <c r="J1569">
        <v>1736.33</v>
      </c>
      <c r="K1569">
        <v>302.62</v>
      </c>
      <c r="L1569">
        <v>2.4</v>
      </c>
      <c r="M1569" s="53">
        <v>45153</v>
      </c>
      <c r="N1569" t="s">
        <v>56</v>
      </c>
      <c r="O1569" t="s">
        <v>73</v>
      </c>
      <c r="P1569" s="54">
        <v>0.174287145876648</v>
      </c>
    </row>
    <row r="1570" spans="1:16">
      <c r="A1570" t="s">
        <v>3862</v>
      </c>
      <c r="B1570" t="s">
        <v>934</v>
      </c>
      <c r="C1570" t="s">
        <v>3863</v>
      </c>
      <c r="D1570" t="s">
        <v>19</v>
      </c>
      <c r="E1570" t="s">
        <v>86</v>
      </c>
      <c r="F1570" t="s">
        <v>87</v>
      </c>
      <c r="G1570">
        <v>3</v>
      </c>
      <c r="H1570">
        <v>9043.62</v>
      </c>
      <c r="I1570">
        <v>0.1</v>
      </c>
      <c r="J1570">
        <v>24417.77</v>
      </c>
      <c r="K1570">
        <v>2790.22</v>
      </c>
      <c r="L1570">
        <v>2.9</v>
      </c>
      <c r="M1570" s="53">
        <v>45173</v>
      </c>
      <c r="N1570" t="s">
        <v>22</v>
      </c>
      <c r="O1570" t="s">
        <v>31</v>
      </c>
      <c r="P1570" s="54">
        <v>0.114270058240372</v>
      </c>
    </row>
    <row r="1571" spans="1:16">
      <c r="A1571" t="s">
        <v>3864</v>
      </c>
      <c r="B1571" t="s">
        <v>2395</v>
      </c>
      <c r="C1571" t="s">
        <v>3305</v>
      </c>
      <c r="D1571" t="s">
        <v>27</v>
      </c>
      <c r="E1571" t="s">
        <v>233</v>
      </c>
      <c r="F1571" t="s">
        <v>665</v>
      </c>
      <c r="G1571">
        <v>4</v>
      </c>
      <c r="H1571">
        <v>1944.4</v>
      </c>
      <c r="I1571">
        <v>0</v>
      </c>
      <c r="J1571">
        <v>7777.6</v>
      </c>
      <c r="K1571">
        <v>1554.8</v>
      </c>
      <c r="L1571">
        <v>3.5</v>
      </c>
      <c r="M1571" s="53">
        <v>45569</v>
      </c>
      <c r="N1571" t="s">
        <v>43</v>
      </c>
      <c r="O1571" t="s">
        <v>73</v>
      </c>
      <c r="P1571" s="54">
        <v>0.199907426455462</v>
      </c>
    </row>
    <row r="1572" spans="1:16">
      <c r="A1572" t="s">
        <v>3865</v>
      </c>
      <c r="B1572" t="s">
        <v>1239</v>
      </c>
      <c r="C1572" t="s">
        <v>3767</v>
      </c>
      <c r="D1572" t="s">
        <v>53</v>
      </c>
      <c r="E1572" t="s">
        <v>95</v>
      </c>
      <c r="F1572" t="s">
        <v>306</v>
      </c>
      <c r="G1572">
        <v>3</v>
      </c>
      <c r="H1572">
        <v>6093.26</v>
      </c>
      <c r="I1572">
        <v>0.05</v>
      </c>
      <c r="J1572">
        <v>17365.79</v>
      </c>
      <c r="K1572">
        <v>2556.97</v>
      </c>
      <c r="L1572">
        <v>3.4</v>
      </c>
      <c r="M1572" s="53">
        <v>45272</v>
      </c>
      <c r="N1572" t="s">
        <v>56</v>
      </c>
      <c r="O1572" t="s">
        <v>31</v>
      </c>
      <c r="P1572" s="54">
        <v>0.147241789748696</v>
      </c>
    </row>
    <row r="1573" spans="1:16">
      <c r="A1573" t="s">
        <v>3866</v>
      </c>
      <c r="B1573" t="s">
        <v>3867</v>
      </c>
      <c r="C1573" t="s">
        <v>3868</v>
      </c>
      <c r="D1573" t="s">
        <v>40</v>
      </c>
      <c r="E1573" t="s">
        <v>81</v>
      </c>
      <c r="F1573" t="s">
        <v>241</v>
      </c>
      <c r="G1573">
        <v>1</v>
      </c>
      <c r="H1573">
        <v>12430.22</v>
      </c>
      <c r="I1573">
        <v>0.15</v>
      </c>
      <c r="J1573">
        <v>10565.69</v>
      </c>
      <c r="K1573">
        <v>2411.4</v>
      </c>
      <c r="L1573">
        <v>2.4</v>
      </c>
      <c r="M1573" s="53">
        <v>45087</v>
      </c>
      <c r="N1573" t="s">
        <v>56</v>
      </c>
      <c r="O1573" t="s">
        <v>73</v>
      </c>
      <c r="P1573" s="54">
        <v>0.228229296903468</v>
      </c>
    </row>
    <row r="1574" spans="1:16">
      <c r="A1574" t="s">
        <v>3869</v>
      </c>
      <c r="B1574" t="s">
        <v>3870</v>
      </c>
      <c r="C1574" t="s">
        <v>3871</v>
      </c>
      <c r="D1574" t="s">
        <v>27</v>
      </c>
      <c r="E1574" t="s">
        <v>233</v>
      </c>
      <c r="F1574" t="s">
        <v>234</v>
      </c>
      <c r="G1574">
        <v>3</v>
      </c>
      <c r="H1574">
        <v>13943.53</v>
      </c>
      <c r="I1574">
        <v>0.1</v>
      </c>
      <c r="J1574">
        <v>37647.53</v>
      </c>
      <c r="K1574">
        <v>8401.07</v>
      </c>
      <c r="L1574">
        <v>1.2</v>
      </c>
      <c r="M1574" s="53">
        <v>45375</v>
      </c>
      <c r="N1574" t="s">
        <v>56</v>
      </c>
      <c r="O1574" t="s">
        <v>73</v>
      </c>
      <c r="P1574" s="54">
        <v>0.223150629005409</v>
      </c>
    </row>
    <row r="1575" spans="1:16">
      <c r="A1575" t="s">
        <v>3872</v>
      </c>
      <c r="B1575" t="s">
        <v>2972</v>
      </c>
      <c r="C1575" t="s">
        <v>3873</v>
      </c>
      <c r="D1575" t="s">
        <v>19</v>
      </c>
      <c r="E1575" t="s">
        <v>35</v>
      </c>
      <c r="F1575" t="s">
        <v>121</v>
      </c>
      <c r="G1575">
        <v>4</v>
      </c>
      <c r="H1575">
        <v>12543.18</v>
      </c>
      <c r="I1575">
        <v>0.1</v>
      </c>
      <c r="J1575">
        <v>45155.45</v>
      </c>
      <c r="K1575">
        <v>5015.79</v>
      </c>
      <c r="L1575">
        <v>3.8</v>
      </c>
      <c r="M1575" s="53">
        <v>45054</v>
      </c>
      <c r="N1575" t="s">
        <v>30</v>
      </c>
      <c r="O1575" t="s">
        <v>44</v>
      </c>
      <c r="P1575" s="54">
        <v>0.11107828623123</v>
      </c>
    </row>
    <row r="1576" spans="1:16">
      <c r="A1576" t="s">
        <v>3874</v>
      </c>
      <c r="B1576" t="s">
        <v>1657</v>
      </c>
      <c r="C1576" t="s">
        <v>3875</v>
      </c>
      <c r="D1576" t="s">
        <v>27</v>
      </c>
      <c r="E1576" t="s">
        <v>48</v>
      </c>
      <c r="F1576" t="s">
        <v>583</v>
      </c>
      <c r="G1576">
        <v>5</v>
      </c>
      <c r="H1576">
        <v>2000.17</v>
      </c>
      <c r="I1576">
        <v>0.05</v>
      </c>
      <c r="J1576">
        <v>9500.81</v>
      </c>
      <c r="K1576">
        <v>1739.96</v>
      </c>
      <c r="L1576">
        <v>4.4</v>
      </c>
      <c r="M1576" s="53">
        <v>45370</v>
      </c>
      <c r="N1576" t="s">
        <v>56</v>
      </c>
      <c r="O1576" t="s">
        <v>31</v>
      </c>
      <c r="P1576" s="54">
        <v>0.183138069280409</v>
      </c>
    </row>
    <row r="1577" spans="1:16">
      <c r="A1577" t="s">
        <v>3876</v>
      </c>
      <c r="B1577" t="s">
        <v>273</v>
      </c>
      <c r="C1577" t="s">
        <v>3877</v>
      </c>
      <c r="D1577" t="s">
        <v>19</v>
      </c>
      <c r="E1577" t="s">
        <v>20</v>
      </c>
      <c r="F1577" t="s">
        <v>121</v>
      </c>
      <c r="G1577">
        <v>4</v>
      </c>
      <c r="H1577">
        <v>13209.24</v>
      </c>
      <c r="I1577">
        <v>0</v>
      </c>
      <c r="J1577">
        <v>52836.96</v>
      </c>
      <c r="K1577">
        <v>3589.35</v>
      </c>
      <c r="L1577">
        <v>3.1</v>
      </c>
      <c r="M1577" s="53">
        <v>45624</v>
      </c>
      <c r="N1577" t="s">
        <v>22</v>
      </c>
      <c r="O1577" t="s">
        <v>23</v>
      </c>
      <c r="P1577" s="54">
        <v>0.067932560843773</v>
      </c>
    </row>
    <row r="1578" spans="1:16">
      <c r="A1578" t="s">
        <v>3878</v>
      </c>
      <c r="B1578" t="s">
        <v>136</v>
      </c>
      <c r="C1578" t="s">
        <v>3879</v>
      </c>
      <c r="D1578" t="s">
        <v>40</v>
      </c>
      <c r="E1578" t="s">
        <v>262</v>
      </c>
      <c r="F1578" t="s">
        <v>773</v>
      </c>
      <c r="G1578">
        <v>4</v>
      </c>
      <c r="H1578">
        <v>9202.91</v>
      </c>
      <c r="I1578">
        <v>0</v>
      </c>
      <c r="J1578">
        <v>36811.64</v>
      </c>
      <c r="K1578">
        <v>4205.89</v>
      </c>
      <c r="L1578">
        <v>1.6</v>
      </c>
      <c r="M1578" s="53">
        <v>45379</v>
      </c>
      <c r="N1578" t="s">
        <v>30</v>
      </c>
      <c r="O1578" t="s">
        <v>23</v>
      </c>
      <c r="P1578" s="54">
        <v>0.114254349982777</v>
      </c>
    </row>
    <row r="1579" spans="1:16">
      <c r="A1579" t="s">
        <v>3880</v>
      </c>
      <c r="B1579" t="s">
        <v>89</v>
      </c>
      <c r="C1579" t="s">
        <v>776</v>
      </c>
      <c r="D1579" t="s">
        <v>19</v>
      </c>
      <c r="E1579" t="s">
        <v>86</v>
      </c>
      <c r="F1579" t="s">
        <v>182</v>
      </c>
      <c r="G1579">
        <v>2</v>
      </c>
      <c r="H1579">
        <v>11690.12</v>
      </c>
      <c r="I1579">
        <v>0.1</v>
      </c>
      <c r="J1579">
        <v>21042.22</v>
      </c>
      <c r="K1579">
        <v>2580.72</v>
      </c>
      <c r="L1579">
        <v>4.1</v>
      </c>
      <c r="M1579" s="53">
        <v>45066</v>
      </c>
      <c r="N1579" t="s">
        <v>56</v>
      </c>
      <c r="O1579" t="s">
        <v>23</v>
      </c>
      <c r="P1579" s="54">
        <v>0.122644854012552</v>
      </c>
    </row>
    <row r="1580" spans="1:16">
      <c r="A1580" t="s">
        <v>3881</v>
      </c>
      <c r="B1580" t="s">
        <v>1911</v>
      </c>
      <c r="C1580" t="s">
        <v>3882</v>
      </c>
      <c r="D1580" t="s">
        <v>53</v>
      </c>
      <c r="E1580" t="s">
        <v>71</v>
      </c>
      <c r="F1580" t="s">
        <v>72</v>
      </c>
      <c r="G1580">
        <v>3</v>
      </c>
      <c r="H1580">
        <v>3695.27</v>
      </c>
      <c r="I1580">
        <v>0.1</v>
      </c>
      <c r="J1580">
        <v>9977.23</v>
      </c>
      <c r="K1580">
        <v>1817.89</v>
      </c>
      <c r="L1580">
        <v>4.2</v>
      </c>
      <c r="M1580" s="53">
        <v>45219</v>
      </c>
      <c r="N1580" t="s">
        <v>22</v>
      </c>
      <c r="O1580" t="s">
        <v>73</v>
      </c>
      <c r="P1580" s="54">
        <v>0.182203878230731</v>
      </c>
    </row>
    <row r="1581" spans="1:16">
      <c r="A1581" t="s">
        <v>3883</v>
      </c>
      <c r="B1581" t="s">
        <v>651</v>
      </c>
      <c r="C1581" t="s">
        <v>3884</v>
      </c>
      <c r="D1581" t="s">
        <v>53</v>
      </c>
      <c r="E1581" t="s">
        <v>100</v>
      </c>
      <c r="F1581" t="s">
        <v>229</v>
      </c>
      <c r="G1581">
        <v>2</v>
      </c>
      <c r="H1581">
        <v>10899.74</v>
      </c>
      <c r="I1581">
        <v>0.1</v>
      </c>
      <c r="J1581">
        <v>19619.53</v>
      </c>
      <c r="K1581">
        <v>1765.33</v>
      </c>
      <c r="L1581">
        <v>4.5</v>
      </c>
      <c r="M1581" s="53">
        <v>45312</v>
      </c>
      <c r="N1581" t="s">
        <v>56</v>
      </c>
      <c r="O1581" t="s">
        <v>23</v>
      </c>
      <c r="P1581" s="54">
        <v>0.0899782002932792</v>
      </c>
    </row>
    <row r="1582" spans="1:16">
      <c r="A1582" t="s">
        <v>3885</v>
      </c>
      <c r="B1582" t="s">
        <v>420</v>
      </c>
      <c r="C1582" t="s">
        <v>3886</v>
      </c>
      <c r="D1582" t="s">
        <v>19</v>
      </c>
      <c r="E1582" t="s">
        <v>129</v>
      </c>
      <c r="F1582" t="s">
        <v>320</v>
      </c>
      <c r="G1582">
        <v>4</v>
      </c>
      <c r="H1582">
        <v>17365.48</v>
      </c>
      <c r="I1582">
        <v>0.05</v>
      </c>
      <c r="J1582">
        <v>65988.82</v>
      </c>
      <c r="K1582">
        <v>14754.84</v>
      </c>
      <c r="L1582">
        <v>2.7</v>
      </c>
      <c r="M1582" s="53">
        <v>44987</v>
      </c>
      <c r="N1582" t="s">
        <v>30</v>
      </c>
      <c r="O1582" t="s">
        <v>44</v>
      </c>
      <c r="P1582" s="54">
        <v>0.223596057635218</v>
      </c>
    </row>
    <row r="1583" spans="1:16">
      <c r="A1583" t="s">
        <v>3887</v>
      </c>
      <c r="B1583" t="s">
        <v>831</v>
      </c>
      <c r="C1583" t="s">
        <v>270</v>
      </c>
      <c r="D1583" t="s">
        <v>53</v>
      </c>
      <c r="E1583" t="s">
        <v>54</v>
      </c>
      <c r="F1583" t="s">
        <v>249</v>
      </c>
      <c r="G1583">
        <v>1</v>
      </c>
      <c r="H1583">
        <v>8141.69</v>
      </c>
      <c r="I1583">
        <v>0.05</v>
      </c>
      <c r="J1583">
        <v>7734.61</v>
      </c>
      <c r="K1583">
        <v>753.16</v>
      </c>
      <c r="L1583">
        <v>4.9</v>
      </c>
      <c r="M1583" s="53">
        <v>45406</v>
      </c>
      <c r="N1583" t="s">
        <v>30</v>
      </c>
      <c r="O1583" t="s">
        <v>73</v>
      </c>
      <c r="P1583" s="54">
        <v>0.0973753039907636</v>
      </c>
    </row>
    <row r="1584" spans="1:16">
      <c r="A1584" t="s">
        <v>3888</v>
      </c>
      <c r="B1584" t="s">
        <v>3889</v>
      </c>
      <c r="C1584" t="s">
        <v>3890</v>
      </c>
      <c r="D1584" t="s">
        <v>27</v>
      </c>
      <c r="E1584" t="s">
        <v>48</v>
      </c>
      <c r="F1584" t="s">
        <v>64</v>
      </c>
      <c r="G1584">
        <v>1</v>
      </c>
      <c r="H1584">
        <v>13661.48</v>
      </c>
      <c r="I1584">
        <v>0.05</v>
      </c>
      <c r="J1584">
        <v>12978.41</v>
      </c>
      <c r="K1584">
        <v>910.59</v>
      </c>
      <c r="L1584">
        <v>4</v>
      </c>
      <c r="M1584" s="53">
        <v>45330</v>
      </c>
      <c r="N1584" t="s">
        <v>22</v>
      </c>
      <c r="O1584" t="s">
        <v>31</v>
      </c>
      <c r="P1584" s="54">
        <v>0.0701619073522874</v>
      </c>
    </row>
    <row r="1585" spans="1:16">
      <c r="A1585" t="s">
        <v>3891</v>
      </c>
      <c r="B1585" t="s">
        <v>2479</v>
      </c>
      <c r="C1585" t="s">
        <v>3892</v>
      </c>
      <c r="D1585" t="s">
        <v>19</v>
      </c>
      <c r="E1585" t="s">
        <v>20</v>
      </c>
      <c r="F1585" t="s">
        <v>121</v>
      </c>
      <c r="G1585">
        <v>4</v>
      </c>
      <c r="H1585">
        <v>9157.21</v>
      </c>
      <c r="I1585">
        <v>0.2</v>
      </c>
      <c r="J1585">
        <v>29303.07</v>
      </c>
      <c r="K1585">
        <v>1959.89</v>
      </c>
      <c r="L1585">
        <v>2.4</v>
      </c>
      <c r="M1585" s="53">
        <v>45349</v>
      </c>
      <c r="N1585" t="s">
        <v>22</v>
      </c>
      <c r="O1585" t="s">
        <v>23</v>
      </c>
      <c r="P1585" s="54">
        <v>0.066883435762874</v>
      </c>
    </row>
    <row r="1586" spans="1:16">
      <c r="A1586" t="s">
        <v>3893</v>
      </c>
      <c r="B1586" t="s">
        <v>485</v>
      </c>
      <c r="C1586" t="s">
        <v>3894</v>
      </c>
      <c r="D1586" t="s">
        <v>53</v>
      </c>
      <c r="E1586" t="s">
        <v>71</v>
      </c>
      <c r="F1586" t="s">
        <v>150</v>
      </c>
      <c r="G1586">
        <v>5</v>
      </c>
      <c r="H1586">
        <v>18986.7</v>
      </c>
      <c r="I1586">
        <v>0</v>
      </c>
      <c r="J1586">
        <v>94933.5</v>
      </c>
      <c r="K1586">
        <v>17304.48</v>
      </c>
      <c r="L1586">
        <v>1.7</v>
      </c>
      <c r="M1586" s="53">
        <v>45364</v>
      </c>
      <c r="N1586" t="s">
        <v>56</v>
      </c>
      <c r="O1586" t="s">
        <v>44</v>
      </c>
      <c r="P1586" s="54">
        <v>0.182280017064577</v>
      </c>
    </row>
    <row r="1587" spans="1:16">
      <c r="A1587" t="s">
        <v>3895</v>
      </c>
      <c r="B1587" t="s">
        <v>3896</v>
      </c>
      <c r="C1587" t="s">
        <v>3897</v>
      </c>
      <c r="D1587" t="s">
        <v>19</v>
      </c>
      <c r="E1587" t="s">
        <v>129</v>
      </c>
      <c r="F1587" t="s">
        <v>130</v>
      </c>
      <c r="G1587">
        <v>4</v>
      </c>
      <c r="H1587">
        <v>18129.65</v>
      </c>
      <c r="I1587">
        <v>0</v>
      </c>
      <c r="J1587">
        <v>72518.6</v>
      </c>
      <c r="K1587">
        <v>7138.2</v>
      </c>
      <c r="L1587">
        <v>2.2</v>
      </c>
      <c r="M1587" s="53">
        <v>45185</v>
      </c>
      <c r="N1587" t="s">
        <v>56</v>
      </c>
      <c r="O1587" t="s">
        <v>31</v>
      </c>
      <c r="P1587" s="54">
        <v>0.0984326779612403</v>
      </c>
    </row>
    <row r="1588" spans="1:16">
      <c r="A1588" t="s">
        <v>3898</v>
      </c>
      <c r="B1588" t="s">
        <v>239</v>
      </c>
      <c r="C1588" t="s">
        <v>3899</v>
      </c>
      <c r="D1588" t="s">
        <v>40</v>
      </c>
      <c r="E1588" t="s">
        <v>81</v>
      </c>
      <c r="F1588" t="s">
        <v>82</v>
      </c>
      <c r="G1588">
        <v>5</v>
      </c>
      <c r="H1588">
        <v>15834.19</v>
      </c>
      <c r="I1588">
        <v>0.05</v>
      </c>
      <c r="J1588">
        <v>75212.4</v>
      </c>
      <c r="K1588">
        <v>4550.11</v>
      </c>
      <c r="L1588">
        <v>1.4</v>
      </c>
      <c r="M1588" s="53">
        <v>44988</v>
      </c>
      <c r="N1588" t="s">
        <v>30</v>
      </c>
      <c r="O1588" t="s">
        <v>73</v>
      </c>
      <c r="P1588" s="54">
        <v>0.0604968063776718</v>
      </c>
    </row>
    <row r="1589" spans="1:16">
      <c r="A1589" t="s">
        <v>3900</v>
      </c>
      <c r="B1589" t="s">
        <v>1973</v>
      </c>
      <c r="C1589" t="s">
        <v>3901</v>
      </c>
      <c r="D1589" t="s">
        <v>27</v>
      </c>
      <c r="E1589" t="s">
        <v>48</v>
      </c>
      <c r="F1589" t="s">
        <v>77</v>
      </c>
      <c r="G1589">
        <v>4</v>
      </c>
      <c r="H1589">
        <v>2771.17</v>
      </c>
      <c r="I1589">
        <v>0.1</v>
      </c>
      <c r="J1589">
        <v>9976.21</v>
      </c>
      <c r="K1589">
        <v>763.09</v>
      </c>
      <c r="L1589">
        <v>4.2</v>
      </c>
      <c r="M1589" s="53">
        <v>45520</v>
      </c>
      <c r="N1589" t="s">
        <v>56</v>
      </c>
      <c r="O1589" t="s">
        <v>44</v>
      </c>
      <c r="P1589" s="54">
        <v>0.0764909720224414</v>
      </c>
    </row>
    <row r="1590" spans="1:16">
      <c r="A1590" t="s">
        <v>3902</v>
      </c>
      <c r="B1590" t="s">
        <v>3903</v>
      </c>
      <c r="C1590" t="s">
        <v>3904</v>
      </c>
      <c r="D1590" t="s">
        <v>53</v>
      </c>
      <c r="E1590" t="s">
        <v>95</v>
      </c>
      <c r="F1590" t="s">
        <v>306</v>
      </c>
      <c r="G1590">
        <v>1</v>
      </c>
      <c r="H1590">
        <v>7577</v>
      </c>
      <c r="I1590">
        <v>0.2</v>
      </c>
      <c r="J1590">
        <v>6061.6</v>
      </c>
      <c r="K1590">
        <v>827.47</v>
      </c>
      <c r="L1590">
        <v>2.8</v>
      </c>
      <c r="M1590" s="53">
        <v>45484</v>
      </c>
      <c r="N1590" t="s">
        <v>30</v>
      </c>
      <c r="O1590" t="s">
        <v>73</v>
      </c>
      <c r="P1590" s="54">
        <v>0.136510162333377</v>
      </c>
    </row>
    <row r="1591" spans="1:16">
      <c r="A1591" t="s">
        <v>3905</v>
      </c>
      <c r="B1591" t="s">
        <v>3906</v>
      </c>
      <c r="C1591" t="s">
        <v>3907</v>
      </c>
      <c r="D1591" t="s">
        <v>27</v>
      </c>
      <c r="E1591" t="s">
        <v>233</v>
      </c>
      <c r="F1591" t="s">
        <v>234</v>
      </c>
      <c r="G1591">
        <v>3</v>
      </c>
      <c r="H1591">
        <v>8903.1</v>
      </c>
      <c r="I1591">
        <v>0</v>
      </c>
      <c r="J1591">
        <v>26709.3</v>
      </c>
      <c r="K1591">
        <v>2459.05</v>
      </c>
      <c r="L1591">
        <v>1</v>
      </c>
      <c r="M1591" s="53">
        <v>45451</v>
      </c>
      <c r="N1591" t="s">
        <v>43</v>
      </c>
      <c r="O1591" t="s">
        <v>57</v>
      </c>
      <c r="P1591" s="54">
        <v>0.0920671825918313</v>
      </c>
    </row>
    <row r="1592" spans="1:16">
      <c r="A1592" t="s">
        <v>3908</v>
      </c>
      <c r="B1592" t="s">
        <v>3909</v>
      </c>
      <c r="C1592" t="s">
        <v>3910</v>
      </c>
      <c r="D1592" t="s">
        <v>19</v>
      </c>
      <c r="E1592" t="s">
        <v>20</v>
      </c>
      <c r="F1592" t="s">
        <v>454</v>
      </c>
      <c r="G1592">
        <v>4</v>
      </c>
      <c r="H1592">
        <v>6181.84</v>
      </c>
      <c r="I1592">
        <v>0.1</v>
      </c>
      <c r="J1592">
        <v>22254.62</v>
      </c>
      <c r="K1592">
        <v>4798.44</v>
      </c>
      <c r="L1592">
        <v>4</v>
      </c>
      <c r="M1592" s="53">
        <v>44954</v>
      </c>
      <c r="N1592" t="s">
        <v>22</v>
      </c>
      <c r="O1592" t="s">
        <v>31</v>
      </c>
      <c r="P1592" s="54">
        <v>0.215615454229279</v>
      </c>
    </row>
    <row r="1593" spans="1:16">
      <c r="A1593" t="s">
        <v>3911</v>
      </c>
      <c r="B1593" t="s">
        <v>2917</v>
      </c>
      <c r="C1593" t="s">
        <v>3912</v>
      </c>
      <c r="D1593" t="s">
        <v>53</v>
      </c>
      <c r="E1593" t="s">
        <v>71</v>
      </c>
      <c r="F1593" t="s">
        <v>225</v>
      </c>
      <c r="G1593">
        <v>4</v>
      </c>
      <c r="H1593">
        <v>19121.22</v>
      </c>
      <c r="I1593">
        <v>0.1</v>
      </c>
      <c r="J1593">
        <v>68836.39</v>
      </c>
      <c r="K1593">
        <v>16676.41</v>
      </c>
      <c r="L1593">
        <v>3.3</v>
      </c>
      <c r="M1593" s="53">
        <v>45029</v>
      </c>
      <c r="N1593" t="s">
        <v>22</v>
      </c>
      <c r="O1593" t="s">
        <v>31</v>
      </c>
      <c r="P1593" s="54">
        <v>0.242261542187206</v>
      </c>
    </row>
    <row r="1594" spans="1:16">
      <c r="A1594" t="s">
        <v>3913</v>
      </c>
      <c r="B1594" t="s">
        <v>771</v>
      </c>
      <c r="C1594" t="s">
        <v>3914</v>
      </c>
      <c r="D1594" t="s">
        <v>53</v>
      </c>
      <c r="E1594" t="s">
        <v>54</v>
      </c>
      <c r="F1594" t="s">
        <v>258</v>
      </c>
      <c r="G1594">
        <v>4</v>
      </c>
      <c r="H1594">
        <v>15507.19</v>
      </c>
      <c r="I1594">
        <v>0</v>
      </c>
      <c r="J1594">
        <v>62028.76</v>
      </c>
      <c r="K1594">
        <v>14890.11</v>
      </c>
      <c r="L1594">
        <v>3.3</v>
      </c>
      <c r="M1594" s="53">
        <v>45090</v>
      </c>
      <c r="N1594" t="s">
        <v>56</v>
      </c>
      <c r="O1594" t="s">
        <v>31</v>
      </c>
      <c r="P1594" s="54">
        <v>0.240051711496409</v>
      </c>
    </row>
    <row r="1595" spans="1:16">
      <c r="A1595" t="s">
        <v>3915</v>
      </c>
      <c r="B1595" t="s">
        <v>1441</v>
      </c>
      <c r="C1595" t="s">
        <v>2137</v>
      </c>
      <c r="D1595" t="s">
        <v>27</v>
      </c>
      <c r="E1595" t="s">
        <v>233</v>
      </c>
      <c r="F1595" t="s">
        <v>362</v>
      </c>
      <c r="G1595">
        <v>3</v>
      </c>
      <c r="H1595">
        <v>16768.32</v>
      </c>
      <c r="I1595">
        <v>0.1</v>
      </c>
      <c r="J1595">
        <v>45274.46</v>
      </c>
      <c r="K1595">
        <v>5519.88</v>
      </c>
      <c r="L1595">
        <v>2.3</v>
      </c>
      <c r="M1595" s="53">
        <v>45533</v>
      </c>
      <c r="N1595" t="s">
        <v>30</v>
      </c>
      <c r="O1595" t="s">
        <v>31</v>
      </c>
      <c r="P1595" s="54">
        <v>0.121920393970464</v>
      </c>
    </row>
    <row r="1596" spans="1:16">
      <c r="A1596" t="s">
        <v>3916</v>
      </c>
      <c r="B1596" t="s">
        <v>3579</v>
      </c>
      <c r="C1596" t="s">
        <v>3917</v>
      </c>
      <c r="D1596" t="s">
        <v>53</v>
      </c>
      <c r="E1596" t="s">
        <v>54</v>
      </c>
      <c r="F1596" t="s">
        <v>55</v>
      </c>
      <c r="G1596">
        <v>3</v>
      </c>
      <c r="H1596">
        <v>12717.79</v>
      </c>
      <c r="I1596">
        <v>0.2</v>
      </c>
      <c r="J1596">
        <v>30522.7</v>
      </c>
      <c r="K1596">
        <v>5439.89</v>
      </c>
      <c r="L1596">
        <v>2.7</v>
      </c>
      <c r="M1596" s="53">
        <v>45301</v>
      </c>
      <c r="N1596" t="s">
        <v>30</v>
      </c>
      <c r="O1596" t="s">
        <v>31</v>
      </c>
      <c r="P1596" s="54">
        <v>0.178224403476757</v>
      </c>
    </row>
    <row r="1597" spans="1:16">
      <c r="A1597" t="s">
        <v>3918</v>
      </c>
      <c r="B1597" t="s">
        <v>1239</v>
      </c>
      <c r="C1597" t="s">
        <v>3017</v>
      </c>
      <c r="D1597" t="s">
        <v>53</v>
      </c>
      <c r="E1597" t="s">
        <v>95</v>
      </c>
      <c r="F1597" t="s">
        <v>524</v>
      </c>
      <c r="G1597">
        <v>5</v>
      </c>
      <c r="H1597">
        <v>3160.98</v>
      </c>
      <c r="I1597">
        <v>0.2</v>
      </c>
      <c r="J1597">
        <v>12643.92</v>
      </c>
      <c r="K1597">
        <v>2626.43</v>
      </c>
      <c r="L1597">
        <v>1.7</v>
      </c>
      <c r="M1597" s="53">
        <v>45210</v>
      </c>
      <c r="N1597" t="s">
        <v>43</v>
      </c>
      <c r="O1597" t="s">
        <v>31</v>
      </c>
      <c r="P1597" s="54">
        <v>0.207722763193693</v>
      </c>
    </row>
    <row r="1598" spans="1:16">
      <c r="A1598" t="s">
        <v>3919</v>
      </c>
      <c r="B1598" t="s">
        <v>2831</v>
      </c>
      <c r="C1598" t="s">
        <v>3920</v>
      </c>
      <c r="D1598" t="s">
        <v>53</v>
      </c>
      <c r="E1598" t="s">
        <v>71</v>
      </c>
      <c r="F1598" t="s">
        <v>225</v>
      </c>
      <c r="G1598">
        <v>1</v>
      </c>
      <c r="H1598">
        <v>7202.17</v>
      </c>
      <c r="I1598">
        <v>0.15</v>
      </c>
      <c r="J1598">
        <v>6121.84</v>
      </c>
      <c r="K1598">
        <v>766.68</v>
      </c>
      <c r="L1598">
        <v>4</v>
      </c>
      <c r="M1598" s="53">
        <v>45327</v>
      </c>
      <c r="N1598" t="s">
        <v>56</v>
      </c>
      <c r="O1598" t="s">
        <v>31</v>
      </c>
      <c r="P1598" s="54">
        <v>0.125236856892699</v>
      </c>
    </row>
    <row r="1599" spans="1:16">
      <c r="A1599" t="s">
        <v>3921</v>
      </c>
      <c r="B1599" t="s">
        <v>534</v>
      </c>
      <c r="C1599" t="s">
        <v>3922</v>
      </c>
      <c r="D1599" t="s">
        <v>27</v>
      </c>
      <c r="E1599" t="s">
        <v>28</v>
      </c>
      <c r="F1599" t="s">
        <v>105</v>
      </c>
      <c r="G1599">
        <v>4</v>
      </c>
      <c r="H1599">
        <v>2320.95</v>
      </c>
      <c r="I1599">
        <v>0.2</v>
      </c>
      <c r="J1599">
        <v>7427.04</v>
      </c>
      <c r="K1599">
        <v>1404.66</v>
      </c>
      <c r="L1599">
        <v>3.7</v>
      </c>
      <c r="M1599" s="53">
        <v>45557</v>
      </c>
      <c r="N1599" t="s">
        <v>43</v>
      </c>
      <c r="O1599" t="s">
        <v>57</v>
      </c>
      <c r="P1599" s="54">
        <v>0.189127835584567</v>
      </c>
    </row>
    <row r="1600" spans="1:16">
      <c r="A1600" t="s">
        <v>3923</v>
      </c>
      <c r="B1600" t="s">
        <v>1819</v>
      </c>
      <c r="C1600" t="s">
        <v>1501</v>
      </c>
      <c r="D1600" t="s">
        <v>19</v>
      </c>
      <c r="E1600" t="s">
        <v>20</v>
      </c>
      <c r="F1600" t="s">
        <v>121</v>
      </c>
      <c r="G1600">
        <v>4</v>
      </c>
      <c r="H1600">
        <v>11980.32</v>
      </c>
      <c r="I1600">
        <v>0.05</v>
      </c>
      <c r="J1600">
        <v>45525.22</v>
      </c>
      <c r="K1600">
        <v>10320.87</v>
      </c>
      <c r="L1600">
        <v>1.4</v>
      </c>
      <c r="M1600" s="53">
        <v>45106</v>
      </c>
      <c r="N1600" t="s">
        <v>30</v>
      </c>
      <c r="O1600" t="s">
        <v>57</v>
      </c>
      <c r="P1600" s="54">
        <v>0.2267066474363</v>
      </c>
    </row>
    <row r="1601" spans="1:16">
      <c r="A1601" t="s">
        <v>3924</v>
      </c>
      <c r="B1601" t="s">
        <v>2753</v>
      </c>
      <c r="C1601" t="s">
        <v>3925</v>
      </c>
      <c r="D1601" t="s">
        <v>53</v>
      </c>
      <c r="E1601" t="s">
        <v>100</v>
      </c>
      <c r="F1601" t="s">
        <v>101</v>
      </c>
      <c r="G1601">
        <v>5</v>
      </c>
      <c r="H1601">
        <v>18718.78</v>
      </c>
      <c r="I1601">
        <v>0</v>
      </c>
      <c r="J1601">
        <v>93593.9</v>
      </c>
      <c r="K1601">
        <v>17696.11</v>
      </c>
      <c r="L1601">
        <v>4.4</v>
      </c>
      <c r="M1601" s="53">
        <v>45150</v>
      </c>
      <c r="N1601" t="s">
        <v>30</v>
      </c>
      <c r="O1601" t="s">
        <v>73</v>
      </c>
      <c r="P1601" s="54">
        <v>0.189073326359944</v>
      </c>
    </row>
    <row r="1602" spans="1:16">
      <c r="A1602" t="s">
        <v>3926</v>
      </c>
      <c r="B1602" t="s">
        <v>337</v>
      </c>
      <c r="C1602" t="s">
        <v>3927</v>
      </c>
      <c r="D1602" t="s">
        <v>53</v>
      </c>
      <c r="E1602" t="s">
        <v>54</v>
      </c>
      <c r="F1602" t="s">
        <v>258</v>
      </c>
      <c r="G1602">
        <v>2</v>
      </c>
      <c r="H1602">
        <v>5979.26</v>
      </c>
      <c r="I1602">
        <v>0.15</v>
      </c>
      <c r="J1602">
        <v>10164.74</v>
      </c>
      <c r="K1602">
        <v>2376.2</v>
      </c>
      <c r="L1602">
        <v>2</v>
      </c>
      <c r="M1602" s="53">
        <v>45291</v>
      </c>
      <c r="N1602" t="s">
        <v>22</v>
      </c>
      <c r="O1602" t="s">
        <v>73</v>
      </c>
      <c r="P1602" s="54">
        <v>0.233768891284971</v>
      </c>
    </row>
    <row r="1603" spans="1:16">
      <c r="A1603" t="s">
        <v>3928</v>
      </c>
      <c r="B1603" t="s">
        <v>343</v>
      </c>
      <c r="C1603" t="s">
        <v>3929</v>
      </c>
      <c r="D1603" t="s">
        <v>27</v>
      </c>
      <c r="E1603" t="s">
        <v>28</v>
      </c>
      <c r="F1603" t="s">
        <v>225</v>
      </c>
      <c r="G1603">
        <v>1</v>
      </c>
      <c r="H1603">
        <v>16045.11</v>
      </c>
      <c r="I1603">
        <v>0</v>
      </c>
      <c r="J1603">
        <v>16045.11</v>
      </c>
      <c r="K1603">
        <v>1114.2</v>
      </c>
      <c r="L1603">
        <v>1.8</v>
      </c>
      <c r="M1603" s="53">
        <v>45497</v>
      </c>
      <c r="N1603" t="s">
        <v>43</v>
      </c>
      <c r="O1603" t="s">
        <v>73</v>
      </c>
      <c r="P1603" s="54">
        <v>0.0694417177569989</v>
      </c>
    </row>
    <row r="1604" spans="1:16">
      <c r="A1604" t="s">
        <v>3930</v>
      </c>
      <c r="B1604" t="s">
        <v>69</v>
      </c>
      <c r="C1604" t="s">
        <v>3931</v>
      </c>
      <c r="D1604" t="s">
        <v>40</v>
      </c>
      <c r="E1604" t="s">
        <v>81</v>
      </c>
      <c r="F1604" t="s">
        <v>82</v>
      </c>
      <c r="G1604">
        <v>2</v>
      </c>
      <c r="H1604">
        <v>19046.3</v>
      </c>
      <c r="I1604">
        <v>0.1</v>
      </c>
      <c r="J1604">
        <v>34283.34</v>
      </c>
      <c r="K1604">
        <v>8412.03</v>
      </c>
      <c r="L1604">
        <v>3.9</v>
      </c>
      <c r="M1604" s="53">
        <v>45337</v>
      </c>
      <c r="N1604" t="s">
        <v>56</v>
      </c>
      <c r="O1604" t="s">
        <v>73</v>
      </c>
      <c r="P1604" s="54">
        <v>0.245367866724771</v>
      </c>
    </row>
    <row r="1605" spans="1:16">
      <c r="A1605" t="s">
        <v>3932</v>
      </c>
      <c r="B1605" t="s">
        <v>2881</v>
      </c>
      <c r="C1605" t="s">
        <v>3933</v>
      </c>
      <c r="D1605" t="s">
        <v>19</v>
      </c>
      <c r="E1605" t="s">
        <v>129</v>
      </c>
      <c r="F1605" t="s">
        <v>320</v>
      </c>
      <c r="G1605">
        <v>1</v>
      </c>
      <c r="H1605">
        <v>12190.19</v>
      </c>
      <c r="I1605">
        <v>0.05</v>
      </c>
      <c r="J1605">
        <v>11580.68</v>
      </c>
      <c r="K1605">
        <v>1168.22</v>
      </c>
      <c r="L1605">
        <v>2.6</v>
      </c>
      <c r="M1605" s="53">
        <v>45131</v>
      </c>
      <c r="N1605" t="s">
        <v>22</v>
      </c>
      <c r="O1605" t="s">
        <v>73</v>
      </c>
      <c r="P1605" s="54">
        <v>0.10087663246027</v>
      </c>
    </row>
    <row r="1606" spans="1:16">
      <c r="A1606" t="s">
        <v>3934</v>
      </c>
      <c r="B1606" t="s">
        <v>2950</v>
      </c>
      <c r="C1606" t="s">
        <v>3935</v>
      </c>
      <c r="D1606" t="s">
        <v>53</v>
      </c>
      <c r="E1606" t="s">
        <v>100</v>
      </c>
      <c r="F1606" t="s">
        <v>271</v>
      </c>
      <c r="G1606">
        <v>5</v>
      </c>
      <c r="H1606">
        <v>4001.99</v>
      </c>
      <c r="I1606">
        <v>0.2</v>
      </c>
      <c r="J1606">
        <v>16007.96</v>
      </c>
      <c r="K1606">
        <v>1491.73</v>
      </c>
      <c r="L1606">
        <v>2.2</v>
      </c>
      <c r="M1606" s="53">
        <v>45134</v>
      </c>
      <c r="N1606" t="s">
        <v>30</v>
      </c>
      <c r="O1606" t="s">
        <v>31</v>
      </c>
      <c r="P1606" s="54">
        <v>0.0931867645846191</v>
      </c>
    </row>
    <row r="1607" spans="1:16">
      <c r="A1607" t="s">
        <v>3936</v>
      </c>
      <c r="B1607" t="s">
        <v>3937</v>
      </c>
      <c r="C1607" t="s">
        <v>3938</v>
      </c>
      <c r="D1607" t="s">
        <v>40</v>
      </c>
      <c r="E1607" t="s">
        <v>41</v>
      </c>
      <c r="F1607" t="s">
        <v>91</v>
      </c>
      <c r="G1607">
        <v>5</v>
      </c>
      <c r="H1607">
        <v>7869.33</v>
      </c>
      <c r="I1607">
        <v>0.2</v>
      </c>
      <c r="J1607">
        <v>31477.32</v>
      </c>
      <c r="K1607">
        <v>3490.71</v>
      </c>
      <c r="L1607">
        <v>2.1</v>
      </c>
      <c r="M1607" s="53">
        <v>45524</v>
      </c>
      <c r="N1607" t="s">
        <v>43</v>
      </c>
      <c r="O1607" t="s">
        <v>44</v>
      </c>
      <c r="P1607" s="54">
        <v>0.110896035621838</v>
      </c>
    </row>
    <row r="1608" spans="1:16">
      <c r="A1608" t="s">
        <v>3939</v>
      </c>
      <c r="B1608" t="s">
        <v>3940</v>
      </c>
      <c r="C1608" t="s">
        <v>3941</v>
      </c>
      <c r="D1608" t="s">
        <v>53</v>
      </c>
      <c r="E1608" t="s">
        <v>71</v>
      </c>
      <c r="F1608" t="s">
        <v>225</v>
      </c>
      <c r="G1608">
        <v>5</v>
      </c>
      <c r="H1608">
        <v>17889.59</v>
      </c>
      <c r="I1608">
        <v>0.1</v>
      </c>
      <c r="J1608">
        <v>80503.15</v>
      </c>
      <c r="K1608">
        <v>11398.97</v>
      </c>
      <c r="L1608">
        <v>1.9</v>
      </c>
      <c r="M1608" s="53">
        <v>44929</v>
      </c>
      <c r="N1608" t="s">
        <v>30</v>
      </c>
      <c r="O1608" t="s">
        <v>23</v>
      </c>
      <c r="P1608" s="54">
        <v>0.141596571065853</v>
      </c>
    </row>
    <row r="1609" spans="1:16">
      <c r="A1609" t="s">
        <v>3942</v>
      </c>
      <c r="B1609" t="s">
        <v>3676</v>
      </c>
      <c r="C1609" t="s">
        <v>3851</v>
      </c>
      <c r="D1609" t="s">
        <v>19</v>
      </c>
      <c r="E1609" t="s">
        <v>20</v>
      </c>
      <c r="F1609" t="s">
        <v>454</v>
      </c>
      <c r="G1609">
        <v>5</v>
      </c>
      <c r="H1609">
        <v>1249.62</v>
      </c>
      <c r="I1609">
        <v>0.2</v>
      </c>
      <c r="J1609">
        <v>4998.48</v>
      </c>
      <c r="K1609">
        <v>288.08</v>
      </c>
      <c r="L1609">
        <v>4.2</v>
      </c>
      <c r="M1609" s="53">
        <v>45580</v>
      </c>
      <c r="N1609" t="s">
        <v>22</v>
      </c>
      <c r="O1609" t="s">
        <v>31</v>
      </c>
      <c r="P1609" s="54">
        <v>0.0576335205902594</v>
      </c>
    </row>
    <row r="1610" spans="1:16">
      <c r="A1610" t="s">
        <v>3943</v>
      </c>
      <c r="B1610" t="s">
        <v>3484</v>
      </c>
      <c r="C1610" t="s">
        <v>3944</v>
      </c>
      <c r="D1610" t="s">
        <v>27</v>
      </c>
      <c r="E1610" t="s">
        <v>233</v>
      </c>
      <c r="F1610" t="s">
        <v>665</v>
      </c>
      <c r="G1610">
        <v>4</v>
      </c>
      <c r="H1610">
        <v>7493.6</v>
      </c>
      <c r="I1610">
        <v>0</v>
      </c>
      <c r="J1610">
        <v>29974.4</v>
      </c>
      <c r="K1610">
        <v>3661.25</v>
      </c>
      <c r="L1610">
        <v>3.6</v>
      </c>
      <c r="M1610" s="53">
        <v>45058</v>
      </c>
      <c r="N1610" t="s">
        <v>56</v>
      </c>
      <c r="O1610" t="s">
        <v>73</v>
      </c>
      <c r="P1610" s="54">
        <v>0.122145897832817</v>
      </c>
    </row>
    <row r="1611" spans="1:16">
      <c r="A1611" t="s">
        <v>3945</v>
      </c>
      <c r="B1611" t="s">
        <v>1723</v>
      </c>
      <c r="C1611" t="s">
        <v>3946</v>
      </c>
      <c r="D1611" t="s">
        <v>27</v>
      </c>
      <c r="E1611" t="s">
        <v>48</v>
      </c>
      <c r="F1611" t="s">
        <v>583</v>
      </c>
      <c r="G1611">
        <v>4</v>
      </c>
      <c r="H1611">
        <v>7538.52</v>
      </c>
      <c r="I1611">
        <v>0</v>
      </c>
      <c r="J1611">
        <v>30154.08</v>
      </c>
      <c r="K1611">
        <v>6426.21</v>
      </c>
      <c r="L1611">
        <v>2.8</v>
      </c>
      <c r="M1611" s="53">
        <v>45272</v>
      </c>
      <c r="N1611" t="s">
        <v>30</v>
      </c>
      <c r="O1611" t="s">
        <v>23</v>
      </c>
      <c r="P1611" s="54">
        <v>0.213112454434027</v>
      </c>
    </row>
    <row r="1612" spans="1:16">
      <c r="A1612" t="s">
        <v>3947</v>
      </c>
      <c r="B1612" t="s">
        <v>604</v>
      </c>
      <c r="C1612" t="s">
        <v>3948</v>
      </c>
      <c r="D1612" t="s">
        <v>19</v>
      </c>
      <c r="E1612" t="s">
        <v>20</v>
      </c>
      <c r="F1612" t="s">
        <v>121</v>
      </c>
      <c r="G1612">
        <v>3</v>
      </c>
      <c r="H1612">
        <v>13362.69</v>
      </c>
      <c r="I1612">
        <v>0.2</v>
      </c>
      <c r="J1612">
        <v>32070.46</v>
      </c>
      <c r="K1612">
        <v>7916.17</v>
      </c>
      <c r="L1612">
        <v>2.8</v>
      </c>
      <c r="M1612" s="53">
        <v>45636</v>
      </c>
      <c r="N1612" t="s">
        <v>43</v>
      </c>
      <c r="O1612" t="s">
        <v>23</v>
      </c>
      <c r="P1612" s="54">
        <v>0.24683680870184</v>
      </c>
    </row>
    <row r="1613" spans="1:16">
      <c r="A1613" t="s">
        <v>3949</v>
      </c>
      <c r="B1613" t="s">
        <v>1029</v>
      </c>
      <c r="C1613" t="s">
        <v>2794</v>
      </c>
      <c r="D1613" t="s">
        <v>53</v>
      </c>
      <c r="E1613" t="s">
        <v>54</v>
      </c>
      <c r="F1613" t="s">
        <v>258</v>
      </c>
      <c r="G1613">
        <v>2</v>
      </c>
      <c r="H1613">
        <v>6466.51</v>
      </c>
      <c r="I1613">
        <v>0.05</v>
      </c>
      <c r="J1613">
        <v>12286.37</v>
      </c>
      <c r="K1613">
        <v>2409.98</v>
      </c>
      <c r="L1613">
        <v>3.2</v>
      </c>
      <c r="M1613" s="53">
        <v>45126</v>
      </c>
      <c r="N1613" t="s">
        <v>43</v>
      </c>
      <c r="O1613" t="s">
        <v>44</v>
      </c>
      <c r="P1613" s="54">
        <v>0.196150693817621</v>
      </c>
    </row>
    <row r="1614" spans="1:16">
      <c r="A1614" t="s">
        <v>3950</v>
      </c>
      <c r="B1614" t="s">
        <v>3951</v>
      </c>
      <c r="C1614" t="s">
        <v>3952</v>
      </c>
      <c r="D1614" t="s">
        <v>19</v>
      </c>
      <c r="E1614" t="s">
        <v>129</v>
      </c>
      <c r="F1614" t="s">
        <v>320</v>
      </c>
      <c r="G1614">
        <v>3</v>
      </c>
      <c r="H1614">
        <v>3035.15</v>
      </c>
      <c r="I1614">
        <v>0.15</v>
      </c>
      <c r="J1614">
        <v>7739.63</v>
      </c>
      <c r="K1614">
        <v>1237.78</v>
      </c>
      <c r="L1614">
        <v>4.7</v>
      </c>
      <c r="M1614" s="53">
        <v>45245</v>
      </c>
      <c r="N1614" t="s">
        <v>56</v>
      </c>
      <c r="O1614" t="s">
        <v>44</v>
      </c>
      <c r="P1614" s="54">
        <v>0.159927541755872</v>
      </c>
    </row>
    <row r="1615" spans="1:16">
      <c r="A1615" t="s">
        <v>3953</v>
      </c>
      <c r="B1615" t="s">
        <v>3954</v>
      </c>
      <c r="C1615" t="s">
        <v>3955</v>
      </c>
      <c r="D1615" t="s">
        <v>19</v>
      </c>
      <c r="E1615" t="s">
        <v>35</v>
      </c>
      <c r="F1615" t="s">
        <v>121</v>
      </c>
      <c r="G1615">
        <v>4</v>
      </c>
      <c r="H1615">
        <v>10520.23</v>
      </c>
      <c r="I1615">
        <v>0.15</v>
      </c>
      <c r="J1615">
        <v>35768.78</v>
      </c>
      <c r="K1615">
        <v>7450.72</v>
      </c>
      <c r="L1615">
        <v>4.4</v>
      </c>
      <c r="M1615" s="53">
        <v>44993</v>
      </c>
      <c r="N1615" t="s">
        <v>43</v>
      </c>
      <c r="O1615" t="s">
        <v>44</v>
      </c>
      <c r="P1615" s="54">
        <v>0.208302323981975</v>
      </c>
    </row>
    <row r="1616" spans="1:16">
      <c r="A1616" t="s">
        <v>3956</v>
      </c>
      <c r="B1616" t="s">
        <v>3957</v>
      </c>
      <c r="C1616" t="s">
        <v>3958</v>
      </c>
      <c r="D1616" t="s">
        <v>53</v>
      </c>
      <c r="E1616" t="s">
        <v>95</v>
      </c>
      <c r="F1616" t="s">
        <v>271</v>
      </c>
      <c r="G1616">
        <v>1</v>
      </c>
      <c r="H1616">
        <v>1649.12</v>
      </c>
      <c r="I1616">
        <v>0.15</v>
      </c>
      <c r="J1616">
        <v>1401.75</v>
      </c>
      <c r="K1616">
        <v>112</v>
      </c>
      <c r="L1616">
        <v>1.3</v>
      </c>
      <c r="M1616" s="53">
        <v>45298</v>
      </c>
      <c r="N1616" t="s">
        <v>30</v>
      </c>
      <c r="O1616" t="s">
        <v>73</v>
      </c>
      <c r="P1616" s="54">
        <v>0.0799001248439451</v>
      </c>
    </row>
    <row r="1617" spans="1:16">
      <c r="A1617" t="s">
        <v>3959</v>
      </c>
      <c r="B1617" t="s">
        <v>2576</v>
      </c>
      <c r="C1617" t="s">
        <v>3960</v>
      </c>
      <c r="D1617" t="s">
        <v>40</v>
      </c>
      <c r="E1617" t="s">
        <v>41</v>
      </c>
      <c r="F1617" t="s">
        <v>91</v>
      </c>
      <c r="G1617">
        <v>2</v>
      </c>
      <c r="H1617">
        <v>12945.67</v>
      </c>
      <c r="I1617">
        <v>0.15</v>
      </c>
      <c r="J1617">
        <v>22007.64</v>
      </c>
      <c r="K1617">
        <v>2564.85</v>
      </c>
      <c r="L1617">
        <v>3.8</v>
      </c>
      <c r="M1617" s="53">
        <v>45325</v>
      </c>
      <c r="N1617" t="s">
        <v>56</v>
      </c>
      <c r="O1617" t="s">
        <v>31</v>
      </c>
      <c r="P1617" s="54">
        <v>0.116543618488852</v>
      </c>
    </row>
    <row r="1618" spans="1:16">
      <c r="A1618" t="s">
        <v>3961</v>
      </c>
      <c r="B1618" t="s">
        <v>721</v>
      </c>
      <c r="C1618" t="s">
        <v>3962</v>
      </c>
      <c r="D1618" t="s">
        <v>40</v>
      </c>
      <c r="E1618" t="s">
        <v>81</v>
      </c>
      <c r="F1618" t="s">
        <v>241</v>
      </c>
      <c r="G1618">
        <v>1</v>
      </c>
      <c r="H1618">
        <v>9905.58</v>
      </c>
      <c r="I1618">
        <v>0.2</v>
      </c>
      <c r="J1618">
        <v>7924.46</v>
      </c>
      <c r="K1618">
        <v>1006.63</v>
      </c>
      <c r="L1618">
        <v>3.4</v>
      </c>
      <c r="M1618" s="53">
        <v>45553</v>
      </c>
      <c r="N1618" t="s">
        <v>30</v>
      </c>
      <c r="O1618" t="s">
        <v>23</v>
      </c>
      <c r="P1618" s="54">
        <v>0.127028213909844</v>
      </c>
    </row>
    <row r="1619" spans="1:16">
      <c r="A1619" t="s">
        <v>3963</v>
      </c>
      <c r="B1619" t="s">
        <v>1697</v>
      </c>
      <c r="C1619" t="s">
        <v>3964</v>
      </c>
      <c r="D1619" t="s">
        <v>27</v>
      </c>
      <c r="E1619" t="s">
        <v>233</v>
      </c>
      <c r="F1619" t="s">
        <v>234</v>
      </c>
      <c r="G1619">
        <v>3</v>
      </c>
      <c r="H1619">
        <v>15716.6</v>
      </c>
      <c r="I1619">
        <v>0.2</v>
      </c>
      <c r="J1619">
        <v>37719.84</v>
      </c>
      <c r="K1619">
        <v>8666.22</v>
      </c>
      <c r="L1619">
        <v>1.9</v>
      </c>
      <c r="M1619" s="53">
        <v>45428</v>
      </c>
      <c r="N1619" t="s">
        <v>43</v>
      </c>
      <c r="O1619" t="s">
        <v>73</v>
      </c>
      <c r="P1619" s="54">
        <v>0.229752300115801</v>
      </c>
    </row>
    <row r="1620" spans="1:16">
      <c r="A1620" t="s">
        <v>3965</v>
      </c>
      <c r="B1620" t="s">
        <v>1927</v>
      </c>
      <c r="C1620" t="s">
        <v>2311</v>
      </c>
      <c r="D1620" t="s">
        <v>27</v>
      </c>
      <c r="E1620" t="s">
        <v>28</v>
      </c>
      <c r="F1620" t="s">
        <v>192</v>
      </c>
      <c r="G1620">
        <v>4</v>
      </c>
      <c r="H1620">
        <v>10269.67</v>
      </c>
      <c r="I1620">
        <v>0.05</v>
      </c>
      <c r="J1620">
        <v>39024.75</v>
      </c>
      <c r="K1620">
        <v>5404.91</v>
      </c>
      <c r="L1620">
        <v>3.2</v>
      </c>
      <c r="M1620" s="53">
        <v>45279</v>
      </c>
      <c r="N1620" t="s">
        <v>30</v>
      </c>
      <c r="O1620" t="s">
        <v>57</v>
      </c>
      <c r="P1620" s="54">
        <v>0.138499541957348</v>
      </c>
    </row>
    <row r="1621" spans="1:16">
      <c r="A1621" t="s">
        <v>3966</v>
      </c>
      <c r="B1621" t="s">
        <v>2382</v>
      </c>
      <c r="C1621" t="s">
        <v>3967</v>
      </c>
      <c r="D1621" t="s">
        <v>40</v>
      </c>
      <c r="E1621" t="s">
        <v>81</v>
      </c>
      <c r="F1621" t="s">
        <v>241</v>
      </c>
      <c r="G1621">
        <v>5</v>
      </c>
      <c r="H1621">
        <v>8275.56</v>
      </c>
      <c r="I1621">
        <v>0.2</v>
      </c>
      <c r="J1621">
        <v>33102.24</v>
      </c>
      <c r="K1621">
        <v>7261.99</v>
      </c>
      <c r="L1621">
        <v>1.6</v>
      </c>
      <c r="M1621" s="53">
        <v>45458</v>
      </c>
      <c r="N1621" t="s">
        <v>30</v>
      </c>
      <c r="O1621" t="s">
        <v>57</v>
      </c>
      <c r="P1621" s="54">
        <v>0.219380621976036</v>
      </c>
    </row>
    <row r="1622" spans="1:16">
      <c r="A1622" t="s">
        <v>3968</v>
      </c>
      <c r="B1622" t="s">
        <v>1402</v>
      </c>
      <c r="C1622" t="s">
        <v>1721</v>
      </c>
      <c r="D1622" t="s">
        <v>40</v>
      </c>
      <c r="E1622" t="s">
        <v>81</v>
      </c>
      <c r="F1622" t="s">
        <v>241</v>
      </c>
      <c r="G1622">
        <v>4</v>
      </c>
      <c r="H1622">
        <v>15437.02</v>
      </c>
      <c r="I1622">
        <v>0.2</v>
      </c>
      <c r="J1622">
        <v>49398.46</v>
      </c>
      <c r="K1622">
        <v>5303.15</v>
      </c>
      <c r="L1622">
        <v>1.3</v>
      </c>
      <c r="M1622" s="53">
        <v>45181</v>
      </c>
      <c r="N1622" t="s">
        <v>43</v>
      </c>
      <c r="O1622" t="s">
        <v>23</v>
      </c>
      <c r="P1622" s="54">
        <v>0.107354561255553</v>
      </c>
    </row>
    <row r="1623" spans="1:16">
      <c r="A1623" t="s">
        <v>3969</v>
      </c>
      <c r="B1623" t="s">
        <v>2069</v>
      </c>
      <c r="C1623" t="s">
        <v>3970</v>
      </c>
      <c r="D1623" t="s">
        <v>53</v>
      </c>
      <c r="E1623" t="s">
        <v>100</v>
      </c>
      <c r="F1623" t="s">
        <v>267</v>
      </c>
      <c r="G1623">
        <v>2</v>
      </c>
      <c r="H1623">
        <v>1950.39</v>
      </c>
      <c r="I1623">
        <v>0.05</v>
      </c>
      <c r="J1623">
        <v>3705.74</v>
      </c>
      <c r="K1623">
        <v>880.51</v>
      </c>
      <c r="L1623">
        <v>1.2</v>
      </c>
      <c r="M1623" s="53">
        <v>45017</v>
      </c>
      <c r="N1623" t="s">
        <v>30</v>
      </c>
      <c r="O1623" t="s">
        <v>31</v>
      </c>
      <c r="P1623" s="54">
        <v>0.237607063636413</v>
      </c>
    </row>
    <row r="1624" spans="1:16">
      <c r="A1624" t="s">
        <v>3971</v>
      </c>
      <c r="B1624" t="s">
        <v>809</v>
      </c>
      <c r="C1624" t="s">
        <v>3972</v>
      </c>
      <c r="D1624" t="s">
        <v>40</v>
      </c>
      <c r="E1624" t="s">
        <v>262</v>
      </c>
      <c r="F1624" t="s">
        <v>385</v>
      </c>
      <c r="G1624">
        <v>5</v>
      </c>
      <c r="H1624">
        <v>9148.14</v>
      </c>
      <c r="I1624">
        <v>0.15</v>
      </c>
      <c r="J1624">
        <v>38879.59</v>
      </c>
      <c r="K1624">
        <v>6913.41</v>
      </c>
      <c r="L1624">
        <v>3.3</v>
      </c>
      <c r="M1624" s="53">
        <v>45597</v>
      </c>
      <c r="N1624" t="s">
        <v>30</v>
      </c>
      <c r="O1624" t="s">
        <v>31</v>
      </c>
      <c r="P1624" s="54">
        <v>0.177815918326299</v>
      </c>
    </row>
    <row r="1625" spans="1:16">
      <c r="A1625" t="s">
        <v>3973</v>
      </c>
      <c r="B1625" t="s">
        <v>1344</v>
      </c>
      <c r="C1625" t="s">
        <v>3974</v>
      </c>
      <c r="D1625" t="s">
        <v>27</v>
      </c>
      <c r="E1625" t="s">
        <v>233</v>
      </c>
      <c r="F1625" t="s">
        <v>234</v>
      </c>
      <c r="G1625">
        <v>5</v>
      </c>
      <c r="H1625">
        <v>9484.84</v>
      </c>
      <c r="I1625">
        <v>0</v>
      </c>
      <c r="J1625">
        <v>47424.2</v>
      </c>
      <c r="K1625">
        <v>2484.79</v>
      </c>
      <c r="L1625">
        <v>4.6</v>
      </c>
      <c r="M1625" s="53">
        <v>45608</v>
      </c>
      <c r="N1625" t="s">
        <v>43</v>
      </c>
      <c r="O1625" t="s">
        <v>73</v>
      </c>
      <c r="P1625" s="54">
        <v>0.0523949797782567</v>
      </c>
    </row>
    <row r="1626" spans="1:16">
      <c r="A1626" t="s">
        <v>3975</v>
      </c>
      <c r="B1626" t="s">
        <v>567</v>
      </c>
      <c r="C1626" t="s">
        <v>3646</v>
      </c>
      <c r="D1626" t="s">
        <v>27</v>
      </c>
      <c r="E1626" t="s">
        <v>117</v>
      </c>
      <c r="F1626" t="s">
        <v>225</v>
      </c>
      <c r="G1626">
        <v>5</v>
      </c>
      <c r="H1626">
        <v>13864.23</v>
      </c>
      <c r="I1626">
        <v>0.1</v>
      </c>
      <c r="J1626">
        <v>62389.03</v>
      </c>
      <c r="K1626">
        <v>5357.22</v>
      </c>
      <c r="L1626">
        <v>3.9</v>
      </c>
      <c r="M1626" s="53">
        <v>45362</v>
      </c>
      <c r="N1626" t="s">
        <v>22</v>
      </c>
      <c r="O1626" t="s">
        <v>57</v>
      </c>
      <c r="P1626" s="54">
        <v>0.0858679803164114</v>
      </c>
    </row>
    <row r="1627" spans="1:16">
      <c r="A1627" t="s">
        <v>3976</v>
      </c>
      <c r="B1627" t="s">
        <v>587</v>
      </c>
      <c r="C1627" t="s">
        <v>3977</v>
      </c>
      <c r="D1627" t="s">
        <v>40</v>
      </c>
      <c r="E1627" t="s">
        <v>262</v>
      </c>
      <c r="F1627" t="s">
        <v>773</v>
      </c>
      <c r="G1627">
        <v>1</v>
      </c>
      <c r="H1627">
        <v>199.01</v>
      </c>
      <c r="I1627">
        <v>0.1</v>
      </c>
      <c r="J1627">
        <v>179.11</v>
      </c>
      <c r="K1627">
        <v>17.36</v>
      </c>
      <c r="L1627">
        <v>4.9</v>
      </c>
      <c r="M1627" s="53">
        <v>45119</v>
      </c>
      <c r="N1627" t="s">
        <v>56</v>
      </c>
      <c r="O1627" t="s">
        <v>73</v>
      </c>
      <c r="P1627" s="54">
        <v>0.0969236781865892</v>
      </c>
    </row>
    <row r="1628" spans="1:16">
      <c r="A1628" t="s">
        <v>3978</v>
      </c>
      <c r="B1628" t="s">
        <v>913</v>
      </c>
      <c r="C1628" t="s">
        <v>1963</v>
      </c>
      <c r="D1628" t="s">
        <v>19</v>
      </c>
      <c r="E1628" t="s">
        <v>20</v>
      </c>
      <c r="F1628" t="s">
        <v>21</v>
      </c>
      <c r="G1628">
        <v>1</v>
      </c>
      <c r="H1628">
        <v>1612.79</v>
      </c>
      <c r="I1628">
        <v>0</v>
      </c>
      <c r="J1628">
        <v>1612.79</v>
      </c>
      <c r="K1628">
        <v>245.13</v>
      </c>
      <c r="L1628">
        <v>2.5</v>
      </c>
      <c r="M1628" s="53">
        <v>45061</v>
      </c>
      <c r="N1628" t="s">
        <v>22</v>
      </c>
      <c r="O1628" t="s">
        <v>23</v>
      </c>
      <c r="P1628" s="54">
        <v>0.151991269787139</v>
      </c>
    </row>
    <row r="1629" spans="1:16">
      <c r="A1629" t="s">
        <v>3979</v>
      </c>
      <c r="B1629" t="s">
        <v>1335</v>
      </c>
      <c r="C1629" t="s">
        <v>3980</v>
      </c>
      <c r="D1629" t="s">
        <v>53</v>
      </c>
      <c r="E1629" t="s">
        <v>100</v>
      </c>
      <c r="F1629" t="s">
        <v>101</v>
      </c>
      <c r="G1629">
        <v>2</v>
      </c>
      <c r="H1629">
        <v>2965.53</v>
      </c>
      <c r="I1629">
        <v>0.05</v>
      </c>
      <c r="J1629">
        <v>5634.51</v>
      </c>
      <c r="K1629">
        <v>466.36</v>
      </c>
      <c r="L1629">
        <v>1.6</v>
      </c>
      <c r="M1629" s="53">
        <v>45597</v>
      </c>
      <c r="N1629" t="s">
        <v>22</v>
      </c>
      <c r="O1629" t="s">
        <v>23</v>
      </c>
      <c r="P1629" s="54">
        <v>0.0827685104827217</v>
      </c>
    </row>
    <row r="1630" spans="1:16">
      <c r="A1630" t="s">
        <v>3981</v>
      </c>
      <c r="B1630" t="s">
        <v>1268</v>
      </c>
      <c r="C1630" t="s">
        <v>1237</v>
      </c>
      <c r="D1630" t="s">
        <v>27</v>
      </c>
      <c r="E1630" t="s">
        <v>233</v>
      </c>
      <c r="F1630" t="s">
        <v>234</v>
      </c>
      <c r="G1630">
        <v>5</v>
      </c>
      <c r="H1630">
        <v>8299.25</v>
      </c>
      <c r="I1630">
        <v>0.2</v>
      </c>
      <c r="J1630">
        <v>33197</v>
      </c>
      <c r="K1630">
        <v>6636.67</v>
      </c>
      <c r="L1630">
        <v>3</v>
      </c>
      <c r="M1630" s="53">
        <v>45224</v>
      </c>
      <c r="N1630" t="s">
        <v>30</v>
      </c>
      <c r="O1630" t="s">
        <v>31</v>
      </c>
      <c r="P1630" s="54">
        <v>0.199917763653342</v>
      </c>
    </row>
    <row r="1631" spans="1:16">
      <c r="A1631" t="s">
        <v>3982</v>
      </c>
      <c r="B1631" t="s">
        <v>3839</v>
      </c>
      <c r="C1631" t="s">
        <v>1711</v>
      </c>
      <c r="D1631" t="s">
        <v>27</v>
      </c>
      <c r="E1631" t="s">
        <v>233</v>
      </c>
      <c r="F1631" t="s">
        <v>665</v>
      </c>
      <c r="G1631">
        <v>3</v>
      </c>
      <c r="H1631">
        <v>8167.66</v>
      </c>
      <c r="I1631">
        <v>0</v>
      </c>
      <c r="J1631">
        <v>24502.98</v>
      </c>
      <c r="K1631">
        <v>3452.39</v>
      </c>
      <c r="L1631">
        <v>4.5</v>
      </c>
      <c r="M1631" s="53">
        <v>45194</v>
      </c>
      <c r="N1631" t="s">
        <v>30</v>
      </c>
      <c r="O1631" t="s">
        <v>44</v>
      </c>
      <c r="P1631" s="54">
        <v>0.140896739906738</v>
      </c>
    </row>
    <row r="1632" spans="1:16">
      <c r="A1632" t="s">
        <v>3983</v>
      </c>
      <c r="B1632" t="s">
        <v>3273</v>
      </c>
      <c r="C1632" t="s">
        <v>2172</v>
      </c>
      <c r="D1632" t="s">
        <v>19</v>
      </c>
      <c r="E1632" t="s">
        <v>35</v>
      </c>
      <c r="F1632" t="s">
        <v>121</v>
      </c>
      <c r="G1632">
        <v>4</v>
      </c>
      <c r="H1632">
        <v>2030.15</v>
      </c>
      <c r="I1632">
        <v>0.15</v>
      </c>
      <c r="J1632">
        <v>6902.51</v>
      </c>
      <c r="K1632">
        <v>903.16</v>
      </c>
      <c r="L1632">
        <v>1.9</v>
      </c>
      <c r="M1632" s="53">
        <v>45304</v>
      </c>
      <c r="N1632" t="s">
        <v>56</v>
      </c>
      <c r="O1632" t="s">
        <v>73</v>
      </c>
      <c r="P1632" s="54">
        <v>0.130845156327191</v>
      </c>
    </row>
    <row r="1633" spans="1:16">
      <c r="A1633" t="s">
        <v>3984</v>
      </c>
      <c r="B1633" t="s">
        <v>2144</v>
      </c>
      <c r="C1633" t="s">
        <v>3985</v>
      </c>
      <c r="D1633" t="s">
        <v>19</v>
      </c>
      <c r="E1633" t="s">
        <v>129</v>
      </c>
      <c r="F1633" t="s">
        <v>167</v>
      </c>
      <c r="G1633">
        <v>5</v>
      </c>
      <c r="H1633">
        <v>19750.15</v>
      </c>
      <c r="I1633">
        <v>0.05</v>
      </c>
      <c r="J1633">
        <v>93813.21</v>
      </c>
      <c r="K1633">
        <v>13619.32</v>
      </c>
      <c r="L1633">
        <v>3.1</v>
      </c>
      <c r="M1633" s="53">
        <v>45140</v>
      </c>
      <c r="N1633" t="s">
        <v>22</v>
      </c>
      <c r="O1633" t="s">
        <v>31</v>
      </c>
      <c r="P1633" s="54">
        <v>0.145174863966386</v>
      </c>
    </row>
    <row r="1634" spans="1:16">
      <c r="A1634" t="s">
        <v>3986</v>
      </c>
      <c r="B1634" t="s">
        <v>2461</v>
      </c>
      <c r="C1634" t="s">
        <v>3987</v>
      </c>
      <c r="D1634" t="s">
        <v>53</v>
      </c>
      <c r="E1634" t="s">
        <v>71</v>
      </c>
      <c r="F1634" t="s">
        <v>225</v>
      </c>
      <c r="G1634">
        <v>2</v>
      </c>
      <c r="H1634">
        <v>5522.38</v>
      </c>
      <c r="I1634">
        <v>0</v>
      </c>
      <c r="J1634">
        <v>11044.76</v>
      </c>
      <c r="K1634">
        <v>730.19</v>
      </c>
      <c r="L1634">
        <v>2.8</v>
      </c>
      <c r="M1634" s="53">
        <v>44934</v>
      </c>
      <c r="N1634" t="s">
        <v>43</v>
      </c>
      <c r="O1634" t="s">
        <v>23</v>
      </c>
      <c r="P1634" s="54">
        <v>0.0661118937849261</v>
      </c>
    </row>
    <row r="1635" spans="1:16">
      <c r="A1635" t="s">
        <v>3988</v>
      </c>
      <c r="B1635" t="s">
        <v>1079</v>
      </c>
      <c r="C1635" t="s">
        <v>3989</v>
      </c>
      <c r="D1635" t="s">
        <v>27</v>
      </c>
      <c r="E1635" t="s">
        <v>28</v>
      </c>
      <c r="F1635" t="s">
        <v>105</v>
      </c>
      <c r="G1635">
        <v>4</v>
      </c>
      <c r="H1635">
        <v>14175.9</v>
      </c>
      <c r="I1635">
        <v>0.1</v>
      </c>
      <c r="J1635">
        <v>51033.24</v>
      </c>
      <c r="K1635">
        <v>11235.18</v>
      </c>
      <c r="L1635">
        <v>4.7</v>
      </c>
      <c r="M1635" s="53">
        <v>45228</v>
      </c>
      <c r="N1635" t="s">
        <v>30</v>
      </c>
      <c r="O1635" t="s">
        <v>23</v>
      </c>
      <c r="P1635" s="54">
        <v>0.220154158348559</v>
      </c>
    </row>
    <row r="1636" spans="1:16">
      <c r="A1636" t="s">
        <v>3990</v>
      </c>
      <c r="B1636" t="s">
        <v>522</v>
      </c>
      <c r="C1636" t="s">
        <v>3991</v>
      </c>
      <c r="D1636" t="s">
        <v>27</v>
      </c>
      <c r="E1636" t="s">
        <v>233</v>
      </c>
      <c r="F1636" t="s">
        <v>362</v>
      </c>
      <c r="G1636">
        <v>5</v>
      </c>
      <c r="H1636">
        <v>11554.3</v>
      </c>
      <c r="I1636">
        <v>0.2</v>
      </c>
      <c r="J1636">
        <v>46217.2</v>
      </c>
      <c r="K1636">
        <v>6497.03</v>
      </c>
      <c r="L1636">
        <v>3.1</v>
      </c>
      <c r="M1636" s="53">
        <v>45588</v>
      </c>
      <c r="N1636" t="s">
        <v>22</v>
      </c>
      <c r="O1636" t="s">
        <v>31</v>
      </c>
      <c r="P1636" s="54">
        <v>0.140576019317484</v>
      </c>
    </row>
    <row r="1637" spans="1:16">
      <c r="A1637" t="s">
        <v>3992</v>
      </c>
      <c r="B1637" t="s">
        <v>1332</v>
      </c>
      <c r="C1637" t="s">
        <v>559</v>
      </c>
      <c r="D1637" t="s">
        <v>53</v>
      </c>
      <c r="E1637" t="s">
        <v>54</v>
      </c>
      <c r="F1637" t="s">
        <v>258</v>
      </c>
      <c r="G1637">
        <v>5</v>
      </c>
      <c r="H1637">
        <v>7084.31</v>
      </c>
      <c r="I1637">
        <v>0.05</v>
      </c>
      <c r="J1637">
        <v>33650.47</v>
      </c>
      <c r="K1637">
        <v>5385.03</v>
      </c>
      <c r="L1637">
        <v>1.7</v>
      </c>
      <c r="M1637" s="53">
        <v>44940</v>
      </c>
      <c r="N1637" t="s">
        <v>43</v>
      </c>
      <c r="O1637" t="s">
        <v>23</v>
      </c>
      <c r="P1637" s="54">
        <v>0.160028374046484</v>
      </c>
    </row>
    <row r="1638" spans="1:16">
      <c r="A1638" t="s">
        <v>3993</v>
      </c>
      <c r="B1638" t="s">
        <v>1631</v>
      </c>
      <c r="C1638" t="s">
        <v>3994</v>
      </c>
      <c r="D1638" t="s">
        <v>40</v>
      </c>
      <c r="E1638" t="s">
        <v>41</v>
      </c>
      <c r="F1638" t="s">
        <v>154</v>
      </c>
      <c r="G1638">
        <v>2</v>
      </c>
      <c r="H1638">
        <v>6565.44</v>
      </c>
      <c r="I1638">
        <v>0.2</v>
      </c>
      <c r="J1638">
        <v>10504.7</v>
      </c>
      <c r="K1638">
        <v>2044.67</v>
      </c>
      <c r="L1638">
        <v>3.3</v>
      </c>
      <c r="M1638" s="53">
        <v>45301</v>
      </c>
      <c r="N1638" t="s">
        <v>43</v>
      </c>
      <c r="O1638" t="s">
        <v>57</v>
      </c>
      <c r="P1638" s="54">
        <v>0.19464335011947</v>
      </c>
    </row>
    <row r="1639" spans="1:16">
      <c r="A1639" t="s">
        <v>3995</v>
      </c>
      <c r="B1639" t="s">
        <v>3996</v>
      </c>
      <c r="C1639" t="s">
        <v>3997</v>
      </c>
      <c r="D1639" t="s">
        <v>40</v>
      </c>
      <c r="E1639" t="s">
        <v>81</v>
      </c>
      <c r="F1639" t="s">
        <v>358</v>
      </c>
      <c r="G1639">
        <v>2</v>
      </c>
      <c r="H1639">
        <v>199.36</v>
      </c>
      <c r="I1639">
        <v>0.2</v>
      </c>
      <c r="J1639">
        <v>318.98</v>
      </c>
      <c r="K1639">
        <v>59.3</v>
      </c>
      <c r="L1639">
        <v>2.3</v>
      </c>
      <c r="M1639" s="53">
        <v>45572</v>
      </c>
      <c r="N1639" t="s">
        <v>22</v>
      </c>
      <c r="O1639" t="s">
        <v>23</v>
      </c>
      <c r="P1639" s="54">
        <v>0.185905072418333</v>
      </c>
    </row>
    <row r="1640" spans="1:16">
      <c r="A1640" t="s">
        <v>3998</v>
      </c>
      <c r="B1640" t="s">
        <v>2652</v>
      </c>
      <c r="C1640" t="s">
        <v>3999</v>
      </c>
      <c r="D1640" t="s">
        <v>53</v>
      </c>
      <c r="E1640" t="s">
        <v>100</v>
      </c>
      <c r="F1640" t="s">
        <v>229</v>
      </c>
      <c r="G1640">
        <v>5</v>
      </c>
      <c r="H1640">
        <v>6363.29</v>
      </c>
      <c r="I1640">
        <v>0</v>
      </c>
      <c r="J1640">
        <v>31816.45</v>
      </c>
      <c r="K1640">
        <v>2989.5</v>
      </c>
      <c r="L1640">
        <v>1.1</v>
      </c>
      <c r="M1640" s="53">
        <v>45251</v>
      </c>
      <c r="N1640" t="s">
        <v>56</v>
      </c>
      <c r="O1640" t="s">
        <v>31</v>
      </c>
      <c r="P1640" s="54">
        <v>0.0939608284393765</v>
      </c>
    </row>
    <row r="1641" spans="1:16">
      <c r="A1641" t="s">
        <v>4000</v>
      </c>
      <c r="B1641" t="s">
        <v>1228</v>
      </c>
      <c r="C1641" t="s">
        <v>4001</v>
      </c>
      <c r="D1641" t="s">
        <v>27</v>
      </c>
      <c r="E1641" t="s">
        <v>117</v>
      </c>
      <c r="F1641" t="s">
        <v>192</v>
      </c>
      <c r="G1641">
        <v>4</v>
      </c>
      <c r="H1641">
        <v>14755.19</v>
      </c>
      <c r="I1641">
        <v>0</v>
      </c>
      <c r="J1641">
        <v>59020.76</v>
      </c>
      <c r="K1641">
        <v>8839.84</v>
      </c>
      <c r="L1641">
        <v>1.7</v>
      </c>
      <c r="M1641" s="53">
        <v>44982</v>
      </c>
      <c r="N1641" t="s">
        <v>56</v>
      </c>
      <c r="O1641" t="s">
        <v>23</v>
      </c>
      <c r="P1641" s="54">
        <v>0.149775096084835</v>
      </c>
    </row>
    <row r="1642" spans="1:16">
      <c r="A1642" t="s">
        <v>4002</v>
      </c>
      <c r="B1642" t="s">
        <v>2120</v>
      </c>
      <c r="C1642" t="s">
        <v>725</v>
      </c>
      <c r="D1642" t="s">
        <v>53</v>
      </c>
      <c r="E1642" t="s">
        <v>95</v>
      </c>
      <c r="F1642" t="s">
        <v>524</v>
      </c>
      <c r="G1642">
        <v>3</v>
      </c>
      <c r="H1642">
        <v>1607.71</v>
      </c>
      <c r="I1642">
        <v>0.1</v>
      </c>
      <c r="J1642">
        <v>4340.82</v>
      </c>
      <c r="K1642">
        <v>510.71</v>
      </c>
      <c r="L1642">
        <v>1.7</v>
      </c>
      <c r="M1642" s="53">
        <v>45616</v>
      </c>
      <c r="N1642" t="s">
        <v>56</v>
      </c>
      <c r="O1642" t="s">
        <v>23</v>
      </c>
      <c r="P1642" s="54">
        <v>0.117652885860275</v>
      </c>
    </row>
    <row r="1643" spans="1:16">
      <c r="A1643" t="s">
        <v>4003</v>
      </c>
      <c r="B1643" t="s">
        <v>4004</v>
      </c>
      <c r="C1643" t="s">
        <v>4005</v>
      </c>
      <c r="D1643" t="s">
        <v>40</v>
      </c>
      <c r="E1643" t="s">
        <v>81</v>
      </c>
      <c r="F1643" t="s">
        <v>358</v>
      </c>
      <c r="G1643">
        <v>4</v>
      </c>
      <c r="H1643">
        <v>6285.14</v>
      </c>
      <c r="I1643">
        <v>0.05</v>
      </c>
      <c r="J1643">
        <v>23883.53</v>
      </c>
      <c r="K1643">
        <v>5046.65</v>
      </c>
      <c r="L1643">
        <v>3.6</v>
      </c>
      <c r="M1643" s="53">
        <v>45378</v>
      </c>
      <c r="N1643" t="s">
        <v>56</v>
      </c>
      <c r="O1643" t="s">
        <v>73</v>
      </c>
      <c r="P1643" s="54">
        <v>0.21130251683901</v>
      </c>
    </row>
    <row r="1644" spans="1:16">
      <c r="A1644" t="s">
        <v>4006</v>
      </c>
      <c r="B1644" t="s">
        <v>1654</v>
      </c>
      <c r="C1644" t="s">
        <v>4007</v>
      </c>
      <c r="D1644" t="s">
        <v>53</v>
      </c>
      <c r="E1644" t="s">
        <v>54</v>
      </c>
      <c r="F1644" t="s">
        <v>258</v>
      </c>
      <c r="G1644">
        <v>2</v>
      </c>
      <c r="H1644">
        <v>18895.38</v>
      </c>
      <c r="I1644">
        <v>0.2</v>
      </c>
      <c r="J1644">
        <v>30232.61</v>
      </c>
      <c r="K1644">
        <v>2177.6</v>
      </c>
      <c r="L1644">
        <v>3.6</v>
      </c>
      <c r="M1644" s="53">
        <v>45092</v>
      </c>
      <c r="N1644" t="s">
        <v>43</v>
      </c>
      <c r="O1644" t="s">
        <v>44</v>
      </c>
      <c r="P1644" s="54">
        <v>0.0720281841362687</v>
      </c>
    </row>
    <row r="1645" spans="1:16">
      <c r="A1645" t="s">
        <v>4008</v>
      </c>
      <c r="B1645" t="s">
        <v>3465</v>
      </c>
      <c r="C1645" t="s">
        <v>4009</v>
      </c>
      <c r="D1645" t="s">
        <v>53</v>
      </c>
      <c r="E1645" t="s">
        <v>100</v>
      </c>
      <c r="F1645" t="s">
        <v>101</v>
      </c>
      <c r="G1645">
        <v>2</v>
      </c>
      <c r="H1645">
        <v>1704.45</v>
      </c>
      <c r="I1645">
        <v>0.15</v>
      </c>
      <c r="J1645">
        <v>2897.57</v>
      </c>
      <c r="K1645">
        <v>658.43</v>
      </c>
      <c r="L1645">
        <v>1.5</v>
      </c>
      <c r="M1645" s="53">
        <v>45582</v>
      </c>
      <c r="N1645" t="s">
        <v>43</v>
      </c>
      <c r="O1645" t="s">
        <v>23</v>
      </c>
      <c r="P1645" s="54">
        <v>0.227235235041776</v>
      </c>
    </row>
    <row r="1646" spans="1:16">
      <c r="A1646" t="s">
        <v>4010</v>
      </c>
      <c r="B1646" t="s">
        <v>749</v>
      </c>
      <c r="C1646" t="s">
        <v>4011</v>
      </c>
      <c r="D1646" t="s">
        <v>40</v>
      </c>
      <c r="E1646" t="s">
        <v>174</v>
      </c>
      <c r="F1646" t="s">
        <v>202</v>
      </c>
      <c r="G1646">
        <v>3</v>
      </c>
      <c r="H1646">
        <v>1254.46</v>
      </c>
      <c r="I1646">
        <v>0.1</v>
      </c>
      <c r="J1646">
        <v>3387.04</v>
      </c>
      <c r="K1646">
        <v>508.49</v>
      </c>
      <c r="L1646">
        <v>2.6</v>
      </c>
      <c r="M1646" s="53">
        <v>45406</v>
      </c>
      <c r="N1646" t="s">
        <v>22</v>
      </c>
      <c r="O1646" t="s">
        <v>23</v>
      </c>
      <c r="P1646" s="54">
        <v>0.150128135481128</v>
      </c>
    </row>
    <row r="1647" spans="1:16">
      <c r="A1647" t="s">
        <v>4012</v>
      </c>
      <c r="B1647" t="s">
        <v>2242</v>
      </c>
      <c r="C1647" t="s">
        <v>4013</v>
      </c>
      <c r="D1647" t="s">
        <v>19</v>
      </c>
      <c r="E1647" t="s">
        <v>129</v>
      </c>
      <c r="F1647" t="s">
        <v>320</v>
      </c>
      <c r="G1647">
        <v>3</v>
      </c>
      <c r="H1647">
        <v>5089.98</v>
      </c>
      <c r="I1647">
        <v>0.1</v>
      </c>
      <c r="J1647">
        <v>13742.95</v>
      </c>
      <c r="K1647">
        <v>1660.52</v>
      </c>
      <c r="L1647">
        <v>1.7</v>
      </c>
      <c r="M1647" s="53">
        <v>45551</v>
      </c>
      <c r="N1647" t="s">
        <v>43</v>
      </c>
      <c r="O1647" t="s">
        <v>31</v>
      </c>
      <c r="P1647" s="54">
        <v>0.120827042228925</v>
      </c>
    </row>
    <row r="1648" spans="1:16">
      <c r="A1648" t="s">
        <v>4014</v>
      </c>
      <c r="B1648" t="s">
        <v>1999</v>
      </c>
      <c r="C1648" t="s">
        <v>4015</v>
      </c>
      <c r="D1648" t="s">
        <v>40</v>
      </c>
      <c r="E1648" t="s">
        <v>262</v>
      </c>
      <c r="F1648" t="s">
        <v>263</v>
      </c>
      <c r="G1648">
        <v>1</v>
      </c>
      <c r="H1648">
        <v>9545.86</v>
      </c>
      <c r="I1648">
        <v>0.05</v>
      </c>
      <c r="J1648">
        <v>9068.57</v>
      </c>
      <c r="K1648">
        <v>1779.58</v>
      </c>
      <c r="L1648">
        <v>2.2</v>
      </c>
      <c r="M1648" s="53">
        <v>45632</v>
      </c>
      <c r="N1648" t="s">
        <v>22</v>
      </c>
      <c r="O1648" t="s">
        <v>31</v>
      </c>
      <c r="P1648" s="54">
        <v>0.196236010749214</v>
      </c>
    </row>
    <row r="1649" spans="1:16">
      <c r="A1649" t="s">
        <v>4016</v>
      </c>
      <c r="B1649" t="s">
        <v>510</v>
      </c>
      <c r="C1649" t="s">
        <v>4017</v>
      </c>
      <c r="D1649" t="s">
        <v>40</v>
      </c>
      <c r="E1649" t="s">
        <v>262</v>
      </c>
      <c r="F1649" t="s">
        <v>773</v>
      </c>
      <c r="G1649">
        <v>3</v>
      </c>
      <c r="H1649">
        <v>13733.19</v>
      </c>
      <c r="I1649">
        <v>0.1</v>
      </c>
      <c r="J1649">
        <v>37079.61</v>
      </c>
      <c r="K1649">
        <v>5047.73</v>
      </c>
      <c r="L1649">
        <v>3.1</v>
      </c>
      <c r="M1649" s="53">
        <v>44966</v>
      </c>
      <c r="N1649" t="s">
        <v>56</v>
      </c>
      <c r="O1649" t="s">
        <v>23</v>
      </c>
      <c r="P1649" s="54">
        <v>0.136132230085484</v>
      </c>
    </row>
    <row r="1650" spans="1:16">
      <c r="A1650" t="s">
        <v>4018</v>
      </c>
      <c r="B1650" t="s">
        <v>4019</v>
      </c>
      <c r="C1650" t="s">
        <v>4020</v>
      </c>
      <c r="D1650" t="s">
        <v>40</v>
      </c>
      <c r="E1650" t="s">
        <v>262</v>
      </c>
      <c r="F1650" t="s">
        <v>345</v>
      </c>
      <c r="G1650">
        <v>2</v>
      </c>
      <c r="H1650">
        <v>8907.44</v>
      </c>
      <c r="I1650">
        <v>0.1</v>
      </c>
      <c r="J1650">
        <v>16033.39</v>
      </c>
      <c r="K1650">
        <v>3496.27</v>
      </c>
      <c r="L1650">
        <v>2.5</v>
      </c>
      <c r="M1650" s="53">
        <v>45548</v>
      </c>
      <c r="N1650" t="s">
        <v>43</v>
      </c>
      <c r="O1650" t="s">
        <v>23</v>
      </c>
      <c r="P1650" s="54">
        <v>0.218061807265962</v>
      </c>
    </row>
    <row r="1651" spans="1:16">
      <c r="A1651" t="s">
        <v>4021</v>
      </c>
      <c r="B1651" t="s">
        <v>156</v>
      </c>
      <c r="C1651" t="s">
        <v>4022</v>
      </c>
      <c r="D1651" t="s">
        <v>19</v>
      </c>
      <c r="E1651" t="s">
        <v>86</v>
      </c>
      <c r="F1651" t="s">
        <v>87</v>
      </c>
      <c r="G1651">
        <v>2</v>
      </c>
      <c r="H1651">
        <v>1012.81</v>
      </c>
      <c r="I1651">
        <v>0.2</v>
      </c>
      <c r="J1651">
        <v>1620.5</v>
      </c>
      <c r="K1651">
        <v>307.44</v>
      </c>
      <c r="L1651">
        <v>1.1</v>
      </c>
      <c r="M1651" s="53">
        <v>45351</v>
      </c>
      <c r="N1651" t="s">
        <v>30</v>
      </c>
      <c r="O1651" t="s">
        <v>44</v>
      </c>
      <c r="P1651" s="54">
        <v>0.189719222462203</v>
      </c>
    </row>
    <row r="1652" spans="1:16">
      <c r="A1652" t="s">
        <v>4023</v>
      </c>
      <c r="B1652" t="s">
        <v>315</v>
      </c>
      <c r="C1652" t="s">
        <v>4024</v>
      </c>
      <c r="D1652" t="s">
        <v>27</v>
      </c>
      <c r="E1652" t="s">
        <v>28</v>
      </c>
      <c r="F1652" t="s">
        <v>29</v>
      </c>
      <c r="G1652">
        <v>4</v>
      </c>
      <c r="H1652">
        <v>5727.08</v>
      </c>
      <c r="I1652">
        <v>0.2</v>
      </c>
      <c r="J1652">
        <v>18326.66</v>
      </c>
      <c r="K1652">
        <v>4005.25</v>
      </c>
      <c r="L1652">
        <v>3.7</v>
      </c>
      <c r="M1652" s="53">
        <v>45415</v>
      </c>
      <c r="N1652" t="s">
        <v>43</v>
      </c>
      <c r="O1652" t="s">
        <v>73</v>
      </c>
      <c r="P1652" s="54">
        <v>0.218547733193064</v>
      </c>
    </row>
    <row r="1653" spans="1:16">
      <c r="A1653" t="s">
        <v>4025</v>
      </c>
      <c r="B1653" t="s">
        <v>2763</v>
      </c>
      <c r="C1653" t="s">
        <v>2894</v>
      </c>
      <c r="D1653" t="s">
        <v>40</v>
      </c>
      <c r="E1653" t="s">
        <v>262</v>
      </c>
      <c r="F1653" t="s">
        <v>345</v>
      </c>
      <c r="G1653">
        <v>4</v>
      </c>
      <c r="H1653">
        <v>7179.59</v>
      </c>
      <c r="I1653">
        <v>0.05</v>
      </c>
      <c r="J1653">
        <v>27282.44</v>
      </c>
      <c r="K1653">
        <v>6602.08</v>
      </c>
      <c r="L1653">
        <v>3.7</v>
      </c>
      <c r="M1653" s="53">
        <v>45416</v>
      </c>
      <c r="N1653" t="s">
        <v>22</v>
      </c>
      <c r="O1653" t="s">
        <v>73</v>
      </c>
      <c r="P1653" s="54">
        <v>0.24199008593073</v>
      </c>
    </row>
    <row r="1654" spans="1:16">
      <c r="A1654" t="s">
        <v>4026</v>
      </c>
      <c r="B1654" t="s">
        <v>998</v>
      </c>
      <c r="C1654" t="s">
        <v>1894</v>
      </c>
      <c r="D1654" t="s">
        <v>19</v>
      </c>
      <c r="E1654" t="s">
        <v>20</v>
      </c>
      <c r="F1654" t="s">
        <v>21</v>
      </c>
      <c r="G1654">
        <v>1</v>
      </c>
      <c r="H1654">
        <v>17352.89</v>
      </c>
      <c r="I1654">
        <v>0.15</v>
      </c>
      <c r="J1654">
        <v>14749.96</v>
      </c>
      <c r="K1654">
        <v>2861.34</v>
      </c>
      <c r="L1654">
        <v>1.4</v>
      </c>
      <c r="M1654" s="53">
        <v>45438</v>
      </c>
      <c r="N1654" t="s">
        <v>56</v>
      </c>
      <c r="O1654" t="s">
        <v>57</v>
      </c>
      <c r="P1654" s="54">
        <v>0.193989678616078</v>
      </c>
    </row>
    <row r="1655" spans="1:16">
      <c r="A1655" t="s">
        <v>4027</v>
      </c>
      <c r="B1655" t="s">
        <v>1914</v>
      </c>
      <c r="C1655" t="s">
        <v>4028</v>
      </c>
      <c r="D1655" t="s">
        <v>40</v>
      </c>
      <c r="E1655" t="s">
        <v>262</v>
      </c>
      <c r="F1655" t="s">
        <v>263</v>
      </c>
      <c r="G1655">
        <v>1</v>
      </c>
      <c r="H1655">
        <v>14438.95</v>
      </c>
      <c r="I1655">
        <v>0.05</v>
      </c>
      <c r="J1655">
        <v>13717</v>
      </c>
      <c r="K1655">
        <v>3223.37</v>
      </c>
      <c r="L1655">
        <v>4.8</v>
      </c>
      <c r="M1655" s="53">
        <v>45035</v>
      </c>
      <c r="N1655" t="s">
        <v>30</v>
      </c>
      <c r="O1655" t="s">
        <v>31</v>
      </c>
      <c r="P1655" s="54">
        <v>0.234990887220238</v>
      </c>
    </row>
    <row r="1656" spans="1:16">
      <c r="A1656" t="s">
        <v>4029</v>
      </c>
      <c r="B1656" t="s">
        <v>4030</v>
      </c>
      <c r="C1656" t="s">
        <v>2450</v>
      </c>
      <c r="D1656" t="s">
        <v>19</v>
      </c>
      <c r="E1656" t="s">
        <v>129</v>
      </c>
      <c r="F1656" t="s">
        <v>302</v>
      </c>
      <c r="G1656">
        <v>1</v>
      </c>
      <c r="H1656">
        <v>18693.41</v>
      </c>
      <c r="I1656">
        <v>0</v>
      </c>
      <c r="J1656">
        <v>18693.41</v>
      </c>
      <c r="K1656">
        <v>3466.56</v>
      </c>
      <c r="L1656">
        <v>1.4</v>
      </c>
      <c r="M1656" s="53">
        <v>45143</v>
      </c>
      <c r="N1656" t="s">
        <v>30</v>
      </c>
      <c r="O1656" t="s">
        <v>31</v>
      </c>
      <c r="P1656" s="54">
        <v>0.185442891371879</v>
      </c>
    </row>
    <row r="1657" spans="1:16">
      <c r="A1657" t="s">
        <v>4031</v>
      </c>
      <c r="B1657" t="s">
        <v>507</v>
      </c>
      <c r="C1657" t="s">
        <v>4032</v>
      </c>
      <c r="D1657" t="s">
        <v>53</v>
      </c>
      <c r="E1657" t="s">
        <v>54</v>
      </c>
      <c r="F1657" t="s">
        <v>258</v>
      </c>
      <c r="G1657">
        <v>2</v>
      </c>
      <c r="H1657">
        <v>5099.56</v>
      </c>
      <c r="I1657">
        <v>0</v>
      </c>
      <c r="J1657">
        <v>10199.12</v>
      </c>
      <c r="K1657">
        <v>1966.64</v>
      </c>
      <c r="L1657">
        <v>2.1</v>
      </c>
      <c r="M1657" s="53">
        <v>45528</v>
      </c>
      <c r="N1657" t="s">
        <v>30</v>
      </c>
      <c r="O1657" t="s">
        <v>23</v>
      </c>
      <c r="P1657" s="54">
        <v>0.192824478974657</v>
      </c>
    </row>
    <row r="1658" spans="1:16">
      <c r="A1658" t="s">
        <v>4033</v>
      </c>
      <c r="B1658" t="s">
        <v>392</v>
      </c>
      <c r="C1658" t="s">
        <v>1728</v>
      </c>
      <c r="D1658" t="s">
        <v>27</v>
      </c>
      <c r="E1658" t="s">
        <v>28</v>
      </c>
      <c r="F1658" t="s">
        <v>192</v>
      </c>
      <c r="G1658">
        <v>1</v>
      </c>
      <c r="H1658">
        <v>19351.25</v>
      </c>
      <c r="I1658">
        <v>0.1</v>
      </c>
      <c r="J1658">
        <v>17416.12</v>
      </c>
      <c r="K1658">
        <v>1975.52</v>
      </c>
      <c r="L1658">
        <v>4.3</v>
      </c>
      <c r="M1658" s="53">
        <v>45649</v>
      </c>
      <c r="N1658" t="s">
        <v>30</v>
      </c>
      <c r="O1658" t="s">
        <v>73</v>
      </c>
      <c r="P1658" s="54">
        <v>0.113430545953978</v>
      </c>
    </row>
    <row r="1659" spans="1:16">
      <c r="A1659" t="s">
        <v>4034</v>
      </c>
      <c r="B1659" t="s">
        <v>1029</v>
      </c>
      <c r="C1659" t="s">
        <v>4035</v>
      </c>
      <c r="D1659" t="s">
        <v>19</v>
      </c>
      <c r="E1659" t="s">
        <v>129</v>
      </c>
      <c r="F1659" t="s">
        <v>130</v>
      </c>
      <c r="G1659">
        <v>1</v>
      </c>
      <c r="H1659">
        <v>116.27</v>
      </c>
      <c r="I1659">
        <v>0.15</v>
      </c>
      <c r="J1659">
        <v>98.83</v>
      </c>
      <c r="K1659">
        <v>22.94</v>
      </c>
      <c r="L1659">
        <v>3.6</v>
      </c>
      <c r="M1659" s="53">
        <v>45548</v>
      </c>
      <c r="N1659" t="s">
        <v>30</v>
      </c>
      <c r="O1659" t="s">
        <v>23</v>
      </c>
      <c r="P1659" s="54">
        <v>0.23211575432561</v>
      </c>
    </row>
    <row r="1660" spans="1:16">
      <c r="A1660" t="s">
        <v>4036</v>
      </c>
      <c r="B1660" t="s">
        <v>2371</v>
      </c>
      <c r="C1660" t="s">
        <v>4037</v>
      </c>
      <c r="D1660" t="s">
        <v>53</v>
      </c>
      <c r="E1660" t="s">
        <v>54</v>
      </c>
      <c r="F1660" t="s">
        <v>55</v>
      </c>
      <c r="G1660">
        <v>3</v>
      </c>
      <c r="H1660">
        <v>4152.8</v>
      </c>
      <c r="I1660">
        <v>0.05</v>
      </c>
      <c r="J1660">
        <v>11835.48</v>
      </c>
      <c r="K1660">
        <v>1048.44</v>
      </c>
      <c r="L1660">
        <v>2</v>
      </c>
      <c r="M1660" s="53">
        <v>45059</v>
      </c>
      <c r="N1660" t="s">
        <v>56</v>
      </c>
      <c r="O1660" t="s">
        <v>31</v>
      </c>
      <c r="P1660" s="54">
        <v>0.0885844934045768</v>
      </c>
    </row>
    <row r="1661" spans="1:16">
      <c r="A1661" t="s">
        <v>4038</v>
      </c>
      <c r="B1661" t="s">
        <v>690</v>
      </c>
      <c r="C1661" t="s">
        <v>2118</v>
      </c>
      <c r="D1661" t="s">
        <v>19</v>
      </c>
      <c r="E1661" t="s">
        <v>129</v>
      </c>
      <c r="F1661" t="s">
        <v>302</v>
      </c>
      <c r="G1661">
        <v>5</v>
      </c>
      <c r="H1661">
        <v>19679.49</v>
      </c>
      <c r="I1661">
        <v>0.05</v>
      </c>
      <c r="J1661">
        <v>93477.58</v>
      </c>
      <c r="K1661">
        <v>18249.82</v>
      </c>
      <c r="L1661">
        <v>4</v>
      </c>
      <c r="M1661" s="53">
        <v>45343</v>
      </c>
      <c r="N1661" t="s">
        <v>56</v>
      </c>
      <c r="O1661" t="s">
        <v>31</v>
      </c>
      <c r="P1661" s="54">
        <v>0.195232054573942</v>
      </c>
    </row>
    <row r="1662" spans="1:16">
      <c r="A1662" t="s">
        <v>4039</v>
      </c>
      <c r="B1662" t="s">
        <v>4040</v>
      </c>
      <c r="C1662" t="s">
        <v>4041</v>
      </c>
      <c r="D1662" t="s">
        <v>53</v>
      </c>
      <c r="E1662" t="s">
        <v>95</v>
      </c>
      <c r="F1662" t="s">
        <v>524</v>
      </c>
      <c r="G1662">
        <v>3</v>
      </c>
      <c r="H1662">
        <v>17254.86</v>
      </c>
      <c r="I1662">
        <v>0.2</v>
      </c>
      <c r="J1662">
        <v>41411.66</v>
      </c>
      <c r="K1662">
        <v>4732.29</v>
      </c>
      <c r="L1662">
        <v>1.6</v>
      </c>
      <c r="M1662" s="53">
        <v>44978</v>
      </c>
      <c r="N1662" t="s">
        <v>43</v>
      </c>
      <c r="O1662" t="s">
        <v>23</v>
      </c>
      <c r="P1662" s="54">
        <v>0.114274337227728</v>
      </c>
    </row>
    <row r="1663" spans="1:16">
      <c r="A1663" t="s">
        <v>4042</v>
      </c>
      <c r="B1663" t="s">
        <v>889</v>
      </c>
      <c r="C1663" t="s">
        <v>4043</v>
      </c>
      <c r="D1663" t="s">
        <v>27</v>
      </c>
      <c r="E1663" t="s">
        <v>233</v>
      </c>
      <c r="F1663" t="s">
        <v>606</v>
      </c>
      <c r="G1663">
        <v>3</v>
      </c>
      <c r="H1663">
        <v>19834.97</v>
      </c>
      <c r="I1663">
        <v>0.2</v>
      </c>
      <c r="J1663">
        <v>47603.93</v>
      </c>
      <c r="K1663">
        <v>11890.92</v>
      </c>
      <c r="L1663">
        <v>1.6</v>
      </c>
      <c r="M1663" s="53">
        <v>45232</v>
      </c>
      <c r="N1663" t="s">
        <v>30</v>
      </c>
      <c r="O1663" t="s">
        <v>57</v>
      </c>
      <c r="P1663" s="54">
        <v>0.249788620393316</v>
      </c>
    </row>
    <row r="1664" spans="1:16">
      <c r="A1664" t="s">
        <v>4044</v>
      </c>
      <c r="B1664" t="s">
        <v>581</v>
      </c>
      <c r="C1664" t="s">
        <v>4045</v>
      </c>
      <c r="D1664" t="s">
        <v>53</v>
      </c>
      <c r="E1664" t="s">
        <v>100</v>
      </c>
      <c r="F1664" t="s">
        <v>229</v>
      </c>
      <c r="G1664">
        <v>3</v>
      </c>
      <c r="H1664">
        <v>3347.26</v>
      </c>
      <c r="I1664">
        <v>0.1</v>
      </c>
      <c r="J1664">
        <v>9037.6</v>
      </c>
      <c r="K1664">
        <v>753.12</v>
      </c>
      <c r="L1664">
        <v>1.3</v>
      </c>
      <c r="M1664" s="53">
        <v>45043</v>
      </c>
      <c r="N1664" t="s">
        <v>30</v>
      </c>
      <c r="O1664" t="s">
        <v>44</v>
      </c>
      <c r="P1664" s="54">
        <v>0.0833318580154023</v>
      </c>
    </row>
    <row r="1665" spans="1:16">
      <c r="A1665" t="s">
        <v>4046</v>
      </c>
      <c r="B1665" t="s">
        <v>4047</v>
      </c>
      <c r="C1665" t="s">
        <v>3324</v>
      </c>
      <c r="D1665" t="s">
        <v>19</v>
      </c>
      <c r="E1665" t="s">
        <v>86</v>
      </c>
      <c r="F1665" t="s">
        <v>320</v>
      </c>
      <c r="G1665">
        <v>2</v>
      </c>
      <c r="H1665">
        <v>1977.26</v>
      </c>
      <c r="I1665">
        <v>0.2</v>
      </c>
      <c r="J1665">
        <v>3163.62</v>
      </c>
      <c r="K1665">
        <v>318.76</v>
      </c>
      <c r="L1665">
        <v>3</v>
      </c>
      <c r="M1665" s="53">
        <v>45442</v>
      </c>
      <c r="N1665" t="s">
        <v>22</v>
      </c>
      <c r="O1665" t="s">
        <v>23</v>
      </c>
      <c r="P1665" s="54">
        <v>0.100757992426398</v>
      </c>
    </row>
    <row r="1666" spans="1:16">
      <c r="A1666" t="s">
        <v>4048</v>
      </c>
      <c r="B1666" t="s">
        <v>3692</v>
      </c>
      <c r="C1666" t="s">
        <v>4049</v>
      </c>
      <c r="D1666" t="s">
        <v>27</v>
      </c>
      <c r="E1666" t="s">
        <v>48</v>
      </c>
      <c r="F1666" t="s">
        <v>64</v>
      </c>
      <c r="G1666">
        <v>3</v>
      </c>
      <c r="H1666">
        <v>12824.74</v>
      </c>
      <c r="I1666">
        <v>0.1</v>
      </c>
      <c r="J1666">
        <v>34626.8</v>
      </c>
      <c r="K1666">
        <v>6902.74</v>
      </c>
      <c r="L1666">
        <v>1.1</v>
      </c>
      <c r="M1666" s="53">
        <v>44945</v>
      </c>
      <c r="N1666" t="s">
        <v>22</v>
      </c>
      <c r="O1666" t="s">
        <v>23</v>
      </c>
      <c r="P1666" s="54">
        <v>0.199346748761075</v>
      </c>
    </row>
    <row r="1667" spans="1:16">
      <c r="A1667" t="s">
        <v>4050</v>
      </c>
      <c r="B1667" t="s">
        <v>1540</v>
      </c>
      <c r="C1667" t="s">
        <v>4051</v>
      </c>
      <c r="D1667" t="s">
        <v>19</v>
      </c>
      <c r="E1667" t="s">
        <v>20</v>
      </c>
      <c r="F1667" t="s">
        <v>21</v>
      </c>
      <c r="G1667">
        <v>2</v>
      </c>
      <c r="H1667">
        <v>4838.07</v>
      </c>
      <c r="I1667">
        <v>0</v>
      </c>
      <c r="J1667">
        <v>9676.14</v>
      </c>
      <c r="K1667">
        <v>1018.72</v>
      </c>
      <c r="L1667">
        <v>4.9</v>
      </c>
      <c r="M1667" s="53">
        <v>45424</v>
      </c>
      <c r="N1667" t="s">
        <v>56</v>
      </c>
      <c r="O1667" t="s">
        <v>44</v>
      </c>
      <c r="P1667" s="54">
        <v>0.105281651567671</v>
      </c>
    </row>
    <row r="1668" spans="1:16">
      <c r="A1668" t="s">
        <v>4052</v>
      </c>
      <c r="B1668" t="s">
        <v>4053</v>
      </c>
      <c r="C1668" t="s">
        <v>4054</v>
      </c>
      <c r="D1668" t="s">
        <v>19</v>
      </c>
      <c r="E1668" t="s">
        <v>129</v>
      </c>
      <c r="F1668" t="s">
        <v>167</v>
      </c>
      <c r="G1668">
        <v>3</v>
      </c>
      <c r="H1668">
        <v>15443.63</v>
      </c>
      <c r="I1668">
        <v>0.2</v>
      </c>
      <c r="J1668">
        <v>37064.71</v>
      </c>
      <c r="K1668">
        <v>7358.96</v>
      </c>
      <c r="L1668">
        <v>3.2</v>
      </c>
      <c r="M1668" s="53">
        <v>45205</v>
      </c>
      <c r="N1668" t="s">
        <v>43</v>
      </c>
      <c r="O1668" t="s">
        <v>57</v>
      </c>
      <c r="P1668" s="54">
        <v>0.198543574197667</v>
      </c>
    </row>
    <row r="1669" spans="1:16">
      <c r="A1669" t="s">
        <v>4055</v>
      </c>
      <c r="B1669" t="s">
        <v>2046</v>
      </c>
      <c r="C1669" t="s">
        <v>4056</v>
      </c>
      <c r="D1669" t="s">
        <v>27</v>
      </c>
      <c r="E1669" t="s">
        <v>48</v>
      </c>
      <c r="F1669" t="s">
        <v>77</v>
      </c>
      <c r="G1669">
        <v>2</v>
      </c>
      <c r="H1669">
        <v>19356.53</v>
      </c>
      <c r="I1669">
        <v>0.05</v>
      </c>
      <c r="J1669">
        <v>36777.41</v>
      </c>
      <c r="K1669">
        <v>4575.85</v>
      </c>
      <c r="L1669">
        <v>2.8</v>
      </c>
      <c r="M1669" s="53">
        <v>45152</v>
      </c>
      <c r="N1669" t="s">
        <v>30</v>
      </c>
      <c r="O1669" t="s">
        <v>31</v>
      </c>
      <c r="P1669" s="54">
        <v>0.12442012637649</v>
      </c>
    </row>
    <row r="1670" spans="1:16">
      <c r="A1670" t="s">
        <v>4057</v>
      </c>
      <c r="B1670" t="s">
        <v>575</v>
      </c>
      <c r="C1670" t="s">
        <v>4058</v>
      </c>
      <c r="D1670" t="s">
        <v>53</v>
      </c>
      <c r="E1670" t="s">
        <v>54</v>
      </c>
      <c r="F1670" t="s">
        <v>109</v>
      </c>
      <c r="G1670">
        <v>1</v>
      </c>
      <c r="H1670">
        <v>7116.56</v>
      </c>
      <c r="I1670">
        <v>0.05</v>
      </c>
      <c r="J1670">
        <v>6760.73</v>
      </c>
      <c r="K1670">
        <v>1156</v>
      </c>
      <c r="L1670">
        <v>1.6</v>
      </c>
      <c r="M1670" s="53">
        <v>45170</v>
      </c>
      <c r="N1670" t="s">
        <v>30</v>
      </c>
      <c r="O1670" t="s">
        <v>44</v>
      </c>
      <c r="P1670" s="54">
        <v>0.170987452538409</v>
      </c>
    </row>
    <row r="1671" spans="1:16">
      <c r="A1671" t="s">
        <v>4059</v>
      </c>
      <c r="B1671" t="s">
        <v>1944</v>
      </c>
      <c r="C1671" t="s">
        <v>3625</v>
      </c>
      <c r="D1671" t="s">
        <v>40</v>
      </c>
      <c r="E1671" t="s">
        <v>174</v>
      </c>
      <c r="F1671" t="s">
        <v>313</v>
      </c>
      <c r="G1671">
        <v>1</v>
      </c>
      <c r="H1671">
        <v>16725.92</v>
      </c>
      <c r="I1671">
        <v>0.15</v>
      </c>
      <c r="J1671">
        <v>14217.03</v>
      </c>
      <c r="K1671">
        <v>3203.34</v>
      </c>
      <c r="L1671">
        <v>1.4</v>
      </c>
      <c r="M1671" s="53">
        <v>44950</v>
      </c>
      <c r="N1671" t="s">
        <v>22</v>
      </c>
      <c r="O1671" t="s">
        <v>57</v>
      </c>
      <c r="P1671" s="54">
        <v>0.225317102095163</v>
      </c>
    </row>
    <row r="1672" spans="1:16">
      <c r="A1672" t="s">
        <v>4060</v>
      </c>
      <c r="B1672" t="s">
        <v>2530</v>
      </c>
      <c r="C1672" t="s">
        <v>4061</v>
      </c>
      <c r="D1672" t="s">
        <v>27</v>
      </c>
      <c r="E1672" t="s">
        <v>28</v>
      </c>
      <c r="F1672" t="s">
        <v>192</v>
      </c>
      <c r="G1672">
        <v>4</v>
      </c>
      <c r="H1672">
        <v>13819.49</v>
      </c>
      <c r="I1672">
        <v>0.05</v>
      </c>
      <c r="J1672">
        <v>52514.06</v>
      </c>
      <c r="K1672">
        <v>3286.3</v>
      </c>
      <c r="L1672">
        <v>2.1</v>
      </c>
      <c r="M1672" s="53">
        <v>45024</v>
      </c>
      <c r="N1672" t="s">
        <v>56</v>
      </c>
      <c r="O1672" t="s">
        <v>57</v>
      </c>
      <c r="P1672" s="54">
        <v>0.062579431108545</v>
      </c>
    </row>
    <row r="1673" spans="1:16">
      <c r="A1673" t="s">
        <v>4062</v>
      </c>
      <c r="B1673" t="s">
        <v>3049</v>
      </c>
      <c r="C1673" t="s">
        <v>2369</v>
      </c>
      <c r="D1673" t="s">
        <v>40</v>
      </c>
      <c r="E1673" t="s">
        <v>81</v>
      </c>
      <c r="F1673" t="s">
        <v>241</v>
      </c>
      <c r="G1673">
        <v>3</v>
      </c>
      <c r="H1673">
        <v>14305.43</v>
      </c>
      <c r="I1673">
        <v>0.1</v>
      </c>
      <c r="J1673">
        <v>38624.66</v>
      </c>
      <c r="K1673">
        <v>7903.19</v>
      </c>
      <c r="L1673">
        <v>3.6</v>
      </c>
      <c r="M1673" s="53">
        <v>45578</v>
      </c>
      <c r="N1673" t="s">
        <v>22</v>
      </c>
      <c r="O1673" t="s">
        <v>23</v>
      </c>
      <c r="P1673" s="54">
        <v>0.204615134476265</v>
      </c>
    </row>
    <row r="1674" spans="1:16">
      <c r="A1674" t="s">
        <v>4063</v>
      </c>
      <c r="B1674" t="s">
        <v>654</v>
      </c>
      <c r="C1674" t="s">
        <v>4064</v>
      </c>
      <c r="D1674" t="s">
        <v>40</v>
      </c>
      <c r="E1674" t="s">
        <v>262</v>
      </c>
      <c r="F1674" t="s">
        <v>345</v>
      </c>
      <c r="G1674">
        <v>4</v>
      </c>
      <c r="H1674">
        <v>11680.51</v>
      </c>
      <c r="I1674">
        <v>0</v>
      </c>
      <c r="J1674">
        <v>46722.04</v>
      </c>
      <c r="K1674">
        <v>2525.99</v>
      </c>
      <c r="L1674">
        <v>1.4</v>
      </c>
      <c r="M1674" s="53">
        <v>44947</v>
      </c>
      <c r="N1674" t="s">
        <v>43</v>
      </c>
      <c r="O1674" t="s">
        <v>57</v>
      </c>
      <c r="P1674" s="54">
        <v>0.0540642061005898</v>
      </c>
    </row>
    <row r="1675" spans="1:16">
      <c r="A1675" t="s">
        <v>4065</v>
      </c>
      <c r="B1675" t="s">
        <v>1098</v>
      </c>
      <c r="C1675" t="s">
        <v>4066</v>
      </c>
      <c r="D1675" t="s">
        <v>27</v>
      </c>
      <c r="E1675" t="s">
        <v>28</v>
      </c>
      <c r="F1675" t="s">
        <v>105</v>
      </c>
      <c r="G1675">
        <v>5</v>
      </c>
      <c r="H1675">
        <v>16298.24</v>
      </c>
      <c r="I1675">
        <v>0</v>
      </c>
      <c r="J1675">
        <v>81491.2</v>
      </c>
      <c r="K1675">
        <v>6955.78</v>
      </c>
      <c r="L1675">
        <v>2.8</v>
      </c>
      <c r="M1675" s="53">
        <v>45104</v>
      </c>
      <c r="N1675" t="s">
        <v>56</v>
      </c>
      <c r="O1675" t="s">
        <v>73</v>
      </c>
      <c r="P1675" s="54">
        <v>0.0853562102411058</v>
      </c>
    </row>
    <row r="1676" spans="1:16">
      <c r="A1676" t="s">
        <v>4067</v>
      </c>
      <c r="B1676" t="s">
        <v>3465</v>
      </c>
      <c r="C1676" t="s">
        <v>4068</v>
      </c>
      <c r="D1676" t="s">
        <v>40</v>
      </c>
      <c r="E1676" t="s">
        <v>81</v>
      </c>
      <c r="F1676" t="s">
        <v>82</v>
      </c>
      <c r="G1676">
        <v>2</v>
      </c>
      <c r="H1676">
        <v>5890.32</v>
      </c>
      <c r="I1676">
        <v>0.15</v>
      </c>
      <c r="J1676">
        <v>10013.54</v>
      </c>
      <c r="K1676">
        <v>532.35</v>
      </c>
      <c r="L1676">
        <v>1.9</v>
      </c>
      <c r="M1676" s="53">
        <v>45223</v>
      </c>
      <c r="N1676" t="s">
        <v>22</v>
      </c>
      <c r="O1676" t="s">
        <v>23</v>
      </c>
      <c r="P1676" s="54">
        <v>0.0531630172746102</v>
      </c>
    </row>
    <row r="1677" spans="1:16">
      <c r="A1677" t="s">
        <v>4069</v>
      </c>
      <c r="B1677" t="s">
        <v>2446</v>
      </c>
      <c r="C1677" t="s">
        <v>4070</v>
      </c>
      <c r="D1677" t="s">
        <v>40</v>
      </c>
      <c r="E1677" t="s">
        <v>174</v>
      </c>
      <c r="F1677" t="s">
        <v>175</v>
      </c>
      <c r="G1677">
        <v>3</v>
      </c>
      <c r="H1677">
        <v>15464.71</v>
      </c>
      <c r="I1677">
        <v>0.05</v>
      </c>
      <c r="J1677">
        <v>44074.42</v>
      </c>
      <c r="K1677">
        <v>10308.8</v>
      </c>
      <c r="L1677">
        <v>2.9</v>
      </c>
      <c r="M1677" s="53">
        <v>45390</v>
      </c>
      <c r="N1677" t="s">
        <v>30</v>
      </c>
      <c r="O1677" t="s">
        <v>73</v>
      </c>
      <c r="P1677" s="54">
        <v>0.233895307073808</v>
      </c>
    </row>
    <row r="1678" spans="1:16">
      <c r="A1678" t="s">
        <v>4071</v>
      </c>
      <c r="B1678" t="s">
        <v>2425</v>
      </c>
      <c r="C1678" t="s">
        <v>4072</v>
      </c>
      <c r="D1678" t="s">
        <v>19</v>
      </c>
      <c r="E1678" t="s">
        <v>86</v>
      </c>
      <c r="F1678" t="s">
        <v>87</v>
      </c>
      <c r="G1678">
        <v>2</v>
      </c>
      <c r="H1678">
        <v>15149.02</v>
      </c>
      <c r="I1678">
        <v>0.1</v>
      </c>
      <c r="J1678">
        <v>27268.24</v>
      </c>
      <c r="K1678">
        <v>4485.42</v>
      </c>
      <c r="L1678">
        <v>2.9</v>
      </c>
      <c r="M1678" s="53">
        <v>45353</v>
      </c>
      <c r="N1678" t="s">
        <v>22</v>
      </c>
      <c r="O1678" t="s">
        <v>44</v>
      </c>
      <c r="P1678" s="54">
        <v>0.164492464493491</v>
      </c>
    </row>
    <row r="1679" spans="1:16">
      <c r="A1679" t="s">
        <v>4073</v>
      </c>
      <c r="B1679" t="s">
        <v>3172</v>
      </c>
      <c r="C1679" t="s">
        <v>4074</v>
      </c>
      <c r="D1679" t="s">
        <v>19</v>
      </c>
      <c r="E1679" t="s">
        <v>20</v>
      </c>
      <c r="F1679" t="s">
        <v>134</v>
      </c>
      <c r="G1679">
        <v>2</v>
      </c>
      <c r="H1679">
        <v>6035.27</v>
      </c>
      <c r="I1679">
        <v>0.05</v>
      </c>
      <c r="J1679">
        <v>11467.01</v>
      </c>
      <c r="K1679">
        <v>2614.19</v>
      </c>
      <c r="L1679">
        <v>4.5</v>
      </c>
      <c r="M1679" s="53">
        <v>45134</v>
      </c>
      <c r="N1679" t="s">
        <v>56</v>
      </c>
      <c r="O1679" t="s">
        <v>31</v>
      </c>
      <c r="P1679" s="54">
        <v>0.227974860055062</v>
      </c>
    </row>
    <row r="1680" spans="1:16">
      <c r="A1680" t="s">
        <v>4075</v>
      </c>
      <c r="B1680" t="s">
        <v>741</v>
      </c>
      <c r="C1680" t="s">
        <v>4076</v>
      </c>
      <c r="D1680" t="s">
        <v>40</v>
      </c>
      <c r="E1680" t="s">
        <v>41</v>
      </c>
      <c r="F1680" t="s">
        <v>42</v>
      </c>
      <c r="G1680">
        <v>3</v>
      </c>
      <c r="H1680">
        <v>2991.26</v>
      </c>
      <c r="I1680">
        <v>0.05</v>
      </c>
      <c r="J1680">
        <v>8525.09</v>
      </c>
      <c r="K1680">
        <v>1844.96</v>
      </c>
      <c r="L1680">
        <v>1.9</v>
      </c>
      <c r="M1680" s="53">
        <v>45430</v>
      </c>
      <c r="N1680" t="s">
        <v>30</v>
      </c>
      <c r="O1680" t="s">
        <v>31</v>
      </c>
      <c r="P1680" s="54">
        <v>0.216415310571501</v>
      </c>
    </row>
    <row r="1681" spans="1:16">
      <c r="A1681" t="s">
        <v>4077</v>
      </c>
      <c r="B1681" t="s">
        <v>984</v>
      </c>
      <c r="C1681" t="s">
        <v>4078</v>
      </c>
      <c r="D1681" t="s">
        <v>53</v>
      </c>
      <c r="E1681" t="s">
        <v>71</v>
      </c>
      <c r="F1681" t="s">
        <v>225</v>
      </c>
      <c r="G1681">
        <v>4</v>
      </c>
      <c r="H1681">
        <v>6659.57</v>
      </c>
      <c r="I1681">
        <v>0.1</v>
      </c>
      <c r="J1681">
        <v>23974.45</v>
      </c>
      <c r="K1681">
        <v>1759.67</v>
      </c>
      <c r="L1681">
        <v>2.8</v>
      </c>
      <c r="M1681" s="53">
        <v>44958</v>
      </c>
      <c r="N1681" t="s">
        <v>22</v>
      </c>
      <c r="O1681" t="s">
        <v>31</v>
      </c>
      <c r="P1681" s="54">
        <v>0.0733977213241597</v>
      </c>
    </row>
    <row r="1682" spans="1:16">
      <c r="A1682" t="s">
        <v>4079</v>
      </c>
      <c r="B1682" t="s">
        <v>2595</v>
      </c>
      <c r="C1682" t="s">
        <v>4080</v>
      </c>
      <c r="D1682" t="s">
        <v>19</v>
      </c>
      <c r="E1682" t="s">
        <v>129</v>
      </c>
      <c r="F1682" t="s">
        <v>320</v>
      </c>
      <c r="G1682">
        <v>3</v>
      </c>
      <c r="H1682">
        <v>8536.36</v>
      </c>
      <c r="I1682">
        <v>0</v>
      </c>
      <c r="J1682">
        <v>25609.08</v>
      </c>
      <c r="K1682">
        <v>2469.38</v>
      </c>
      <c r="L1682">
        <v>4.4</v>
      </c>
      <c r="M1682" s="53">
        <v>45327</v>
      </c>
      <c r="N1682" t="s">
        <v>30</v>
      </c>
      <c r="O1682" t="s">
        <v>57</v>
      </c>
      <c r="P1682" s="54">
        <v>0.096425955169026</v>
      </c>
    </row>
    <row r="1683" spans="1:16">
      <c r="A1683" t="s">
        <v>4081</v>
      </c>
      <c r="B1683" t="s">
        <v>1468</v>
      </c>
      <c r="C1683" t="s">
        <v>4082</v>
      </c>
      <c r="D1683" t="s">
        <v>53</v>
      </c>
      <c r="E1683" t="s">
        <v>54</v>
      </c>
      <c r="F1683" t="s">
        <v>109</v>
      </c>
      <c r="G1683">
        <v>3</v>
      </c>
      <c r="H1683">
        <v>4928.22</v>
      </c>
      <c r="I1683">
        <v>0.1</v>
      </c>
      <c r="J1683">
        <v>13306.19</v>
      </c>
      <c r="K1683">
        <v>2924.09</v>
      </c>
      <c r="L1683">
        <v>4.3</v>
      </c>
      <c r="M1683" s="53">
        <v>45166</v>
      </c>
      <c r="N1683" t="s">
        <v>56</v>
      </c>
      <c r="O1683" t="s">
        <v>73</v>
      </c>
      <c r="P1683" s="54">
        <v>0.219754114438468</v>
      </c>
    </row>
    <row r="1684" spans="1:16">
      <c r="A1684" t="s">
        <v>4083</v>
      </c>
      <c r="B1684" t="s">
        <v>2158</v>
      </c>
      <c r="C1684" t="s">
        <v>4084</v>
      </c>
      <c r="D1684" t="s">
        <v>53</v>
      </c>
      <c r="E1684" t="s">
        <v>100</v>
      </c>
      <c r="F1684" t="s">
        <v>267</v>
      </c>
      <c r="G1684">
        <v>3</v>
      </c>
      <c r="H1684">
        <v>18342.97</v>
      </c>
      <c r="I1684">
        <v>0.15</v>
      </c>
      <c r="J1684">
        <v>46774.57</v>
      </c>
      <c r="K1684">
        <v>7313.89</v>
      </c>
      <c r="L1684">
        <v>2.2</v>
      </c>
      <c r="M1684" s="53">
        <v>45090</v>
      </c>
      <c r="N1684" t="s">
        <v>30</v>
      </c>
      <c r="O1684" t="s">
        <v>57</v>
      </c>
      <c r="P1684" s="54">
        <v>0.156364665671967</v>
      </c>
    </row>
    <row r="1685" spans="1:16">
      <c r="A1685" t="s">
        <v>4085</v>
      </c>
      <c r="B1685" t="s">
        <v>1287</v>
      </c>
      <c r="C1685" t="s">
        <v>4086</v>
      </c>
      <c r="D1685" t="s">
        <v>40</v>
      </c>
      <c r="E1685" t="s">
        <v>262</v>
      </c>
      <c r="F1685" t="s">
        <v>773</v>
      </c>
      <c r="G1685">
        <v>5</v>
      </c>
      <c r="H1685">
        <v>14201.88</v>
      </c>
      <c r="I1685">
        <v>0.15</v>
      </c>
      <c r="J1685">
        <v>60357.99</v>
      </c>
      <c r="K1685">
        <v>7364.24</v>
      </c>
      <c r="L1685">
        <v>1.3</v>
      </c>
      <c r="M1685" s="53">
        <v>45075</v>
      </c>
      <c r="N1685" t="s">
        <v>56</v>
      </c>
      <c r="O1685" t="s">
        <v>57</v>
      </c>
      <c r="P1685" s="54">
        <v>0.122009364460281</v>
      </c>
    </row>
    <row r="1686" spans="1:16">
      <c r="A1686" t="s">
        <v>4087</v>
      </c>
      <c r="B1686" t="s">
        <v>1161</v>
      </c>
      <c r="C1686" t="s">
        <v>4088</v>
      </c>
      <c r="D1686" t="s">
        <v>53</v>
      </c>
      <c r="E1686" t="s">
        <v>100</v>
      </c>
      <c r="F1686" t="s">
        <v>229</v>
      </c>
      <c r="G1686">
        <v>1</v>
      </c>
      <c r="H1686">
        <v>3270.12</v>
      </c>
      <c r="I1686">
        <v>0.2</v>
      </c>
      <c r="J1686">
        <v>2616.1</v>
      </c>
      <c r="K1686">
        <v>642.55</v>
      </c>
      <c r="L1686">
        <v>1.7</v>
      </c>
      <c r="M1686" s="53">
        <v>45511</v>
      </c>
      <c r="N1686" t="s">
        <v>56</v>
      </c>
      <c r="O1686" t="s">
        <v>44</v>
      </c>
      <c r="P1686" s="54">
        <v>0.245613699782118</v>
      </c>
    </row>
    <row r="1687" spans="1:16">
      <c r="A1687" t="s">
        <v>4089</v>
      </c>
      <c r="B1687" t="s">
        <v>1326</v>
      </c>
      <c r="C1687" t="s">
        <v>4090</v>
      </c>
      <c r="D1687" t="s">
        <v>53</v>
      </c>
      <c r="E1687" t="s">
        <v>54</v>
      </c>
      <c r="F1687" t="s">
        <v>249</v>
      </c>
      <c r="G1687">
        <v>3</v>
      </c>
      <c r="H1687">
        <v>922.64</v>
      </c>
      <c r="I1687">
        <v>0</v>
      </c>
      <c r="J1687">
        <v>2767.92</v>
      </c>
      <c r="K1687">
        <v>465.8</v>
      </c>
      <c r="L1687">
        <v>4.5</v>
      </c>
      <c r="M1687" s="53">
        <v>45353</v>
      </c>
      <c r="N1687" t="s">
        <v>56</v>
      </c>
      <c r="O1687" t="s">
        <v>23</v>
      </c>
      <c r="P1687" s="54">
        <v>0.168285210555218</v>
      </c>
    </row>
    <row r="1688" spans="1:16">
      <c r="A1688" t="s">
        <v>4091</v>
      </c>
      <c r="B1688" t="s">
        <v>4053</v>
      </c>
      <c r="C1688" t="s">
        <v>4092</v>
      </c>
      <c r="D1688" t="s">
        <v>27</v>
      </c>
      <c r="E1688" t="s">
        <v>117</v>
      </c>
      <c r="F1688" t="s">
        <v>192</v>
      </c>
      <c r="G1688">
        <v>2</v>
      </c>
      <c r="H1688">
        <v>11473.98</v>
      </c>
      <c r="I1688">
        <v>0.1</v>
      </c>
      <c r="J1688">
        <v>20653.16</v>
      </c>
      <c r="K1688">
        <v>1231.99</v>
      </c>
      <c r="L1688">
        <v>1.6</v>
      </c>
      <c r="M1688" s="53">
        <v>44993</v>
      </c>
      <c r="N1688" t="s">
        <v>30</v>
      </c>
      <c r="O1688" t="s">
        <v>31</v>
      </c>
      <c r="P1688" s="54">
        <v>0.0596514044339946</v>
      </c>
    </row>
    <row r="1689" spans="1:16">
      <c r="A1689" t="s">
        <v>4093</v>
      </c>
      <c r="B1689" t="s">
        <v>1188</v>
      </c>
      <c r="C1689" t="s">
        <v>4094</v>
      </c>
      <c r="D1689" t="s">
        <v>27</v>
      </c>
      <c r="E1689" t="s">
        <v>48</v>
      </c>
      <c r="F1689" t="s">
        <v>49</v>
      </c>
      <c r="G1689">
        <v>5</v>
      </c>
      <c r="H1689">
        <v>13066.84</v>
      </c>
      <c r="I1689">
        <v>0.2</v>
      </c>
      <c r="J1689">
        <v>52267.36</v>
      </c>
      <c r="K1689">
        <v>9870.21</v>
      </c>
      <c r="L1689">
        <v>4.7</v>
      </c>
      <c r="M1689" s="53">
        <v>45041</v>
      </c>
      <c r="N1689" t="s">
        <v>56</v>
      </c>
      <c r="O1689" t="s">
        <v>57</v>
      </c>
      <c r="P1689" s="54">
        <v>0.188840798540428</v>
      </c>
    </row>
    <row r="1690" spans="1:16">
      <c r="A1690" t="s">
        <v>4095</v>
      </c>
      <c r="B1690" t="s">
        <v>886</v>
      </c>
      <c r="C1690" t="s">
        <v>4096</v>
      </c>
      <c r="D1690" t="s">
        <v>27</v>
      </c>
      <c r="E1690" t="s">
        <v>117</v>
      </c>
      <c r="F1690" t="s">
        <v>118</v>
      </c>
      <c r="G1690">
        <v>2</v>
      </c>
      <c r="H1690">
        <v>6895.58</v>
      </c>
      <c r="I1690">
        <v>0.1</v>
      </c>
      <c r="J1690">
        <v>12412.04</v>
      </c>
      <c r="K1690">
        <v>654.63</v>
      </c>
      <c r="L1690">
        <v>3.3</v>
      </c>
      <c r="M1690" s="53">
        <v>45320</v>
      </c>
      <c r="N1690" t="s">
        <v>43</v>
      </c>
      <c r="O1690" t="s">
        <v>44</v>
      </c>
      <c r="P1690" s="54">
        <v>0.0527415316096307</v>
      </c>
    </row>
    <row r="1691" spans="1:16">
      <c r="A1691" t="s">
        <v>4097</v>
      </c>
      <c r="B1691" t="s">
        <v>372</v>
      </c>
      <c r="C1691" t="s">
        <v>4098</v>
      </c>
      <c r="D1691" t="s">
        <v>27</v>
      </c>
      <c r="E1691" t="s">
        <v>233</v>
      </c>
      <c r="F1691" t="s">
        <v>665</v>
      </c>
      <c r="G1691">
        <v>2</v>
      </c>
      <c r="H1691">
        <v>15378.47</v>
      </c>
      <c r="I1691">
        <v>0.05</v>
      </c>
      <c r="J1691">
        <v>29219.09</v>
      </c>
      <c r="K1691">
        <v>5800.61</v>
      </c>
      <c r="L1691">
        <v>4</v>
      </c>
      <c r="M1691" s="53">
        <v>45427</v>
      </c>
      <c r="N1691" t="s">
        <v>56</v>
      </c>
      <c r="O1691" t="s">
        <v>57</v>
      </c>
      <c r="P1691" s="54">
        <v>0.198521240736792</v>
      </c>
    </row>
    <row r="1692" spans="1:16">
      <c r="A1692" t="s">
        <v>4099</v>
      </c>
      <c r="B1692" t="s">
        <v>197</v>
      </c>
      <c r="C1692" t="s">
        <v>4100</v>
      </c>
      <c r="D1692" t="s">
        <v>53</v>
      </c>
      <c r="E1692" t="s">
        <v>54</v>
      </c>
      <c r="F1692" t="s">
        <v>55</v>
      </c>
      <c r="G1692">
        <v>4</v>
      </c>
      <c r="H1692">
        <v>15145.89</v>
      </c>
      <c r="I1692">
        <v>0.2</v>
      </c>
      <c r="J1692">
        <v>48466.85</v>
      </c>
      <c r="K1692">
        <v>6371.61</v>
      </c>
      <c r="L1692">
        <v>3</v>
      </c>
      <c r="M1692" s="53">
        <v>45553</v>
      </c>
      <c r="N1692" t="s">
        <v>43</v>
      </c>
      <c r="O1692" t="s">
        <v>44</v>
      </c>
      <c r="P1692" s="54">
        <v>0.13146325787626</v>
      </c>
    </row>
    <row r="1693" spans="1:16">
      <c r="A1693" t="s">
        <v>4101</v>
      </c>
      <c r="B1693" t="s">
        <v>165</v>
      </c>
      <c r="C1693" t="s">
        <v>2067</v>
      </c>
      <c r="D1693" t="s">
        <v>40</v>
      </c>
      <c r="E1693" t="s">
        <v>262</v>
      </c>
      <c r="F1693" t="s">
        <v>263</v>
      </c>
      <c r="G1693">
        <v>2</v>
      </c>
      <c r="H1693">
        <v>14136.26</v>
      </c>
      <c r="I1693">
        <v>0.1</v>
      </c>
      <c r="J1693">
        <v>25445.27</v>
      </c>
      <c r="K1693">
        <v>6290.37</v>
      </c>
      <c r="L1693">
        <v>4.5</v>
      </c>
      <c r="M1693" s="53">
        <v>45255</v>
      </c>
      <c r="N1693" t="s">
        <v>22</v>
      </c>
      <c r="O1693" t="s">
        <v>44</v>
      </c>
      <c r="P1693" s="54">
        <v>0.247211760771255</v>
      </c>
    </row>
    <row r="1694" spans="1:16">
      <c r="A1694" t="s">
        <v>4102</v>
      </c>
      <c r="B1694" t="s">
        <v>4103</v>
      </c>
      <c r="C1694" t="s">
        <v>4104</v>
      </c>
      <c r="D1694" t="s">
        <v>19</v>
      </c>
      <c r="E1694" t="s">
        <v>129</v>
      </c>
      <c r="F1694" t="s">
        <v>302</v>
      </c>
      <c r="G1694">
        <v>3</v>
      </c>
      <c r="H1694">
        <v>18231.24</v>
      </c>
      <c r="I1694">
        <v>0.1</v>
      </c>
      <c r="J1694">
        <v>49224.35</v>
      </c>
      <c r="K1694">
        <v>3786.25</v>
      </c>
      <c r="L1694">
        <v>2.9</v>
      </c>
      <c r="M1694" s="53">
        <v>45557</v>
      </c>
      <c r="N1694" t="s">
        <v>43</v>
      </c>
      <c r="O1694" t="s">
        <v>57</v>
      </c>
      <c r="P1694" s="54">
        <v>0.076918232541415</v>
      </c>
    </row>
    <row r="1695" spans="1:16">
      <c r="A1695" t="s">
        <v>4105</v>
      </c>
      <c r="B1695" t="s">
        <v>1054</v>
      </c>
      <c r="C1695" t="s">
        <v>4106</v>
      </c>
      <c r="D1695" t="s">
        <v>27</v>
      </c>
      <c r="E1695" t="s">
        <v>117</v>
      </c>
      <c r="F1695" t="s">
        <v>118</v>
      </c>
      <c r="G1695">
        <v>5</v>
      </c>
      <c r="H1695">
        <v>4983.39</v>
      </c>
      <c r="I1695">
        <v>0.05</v>
      </c>
      <c r="J1695">
        <v>23671.1</v>
      </c>
      <c r="K1695">
        <v>1685.6</v>
      </c>
      <c r="L1695">
        <v>5</v>
      </c>
      <c r="M1695" s="53">
        <v>45498</v>
      </c>
      <c r="N1695" t="s">
        <v>43</v>
      </c>
      <c r="O1695" t="s">
        <v>23</v>
      </c>
      <c r="P1695" s="54">
        <v>0.0712091960238434</v>
      </c>
    </row>
    <row r="1696" spans="1:16">
      <c r="A1696" t="s">
        <v>4107</v>
      </c>
      <c r="B1696" t="s">
        <v>239</v>
      </c>
      <c r="C1696" t="s">
        <v>4108</v>
      </c>
      <c r="D1696" t="s">
        <v>19</v>
      </c>
      <c r="E1696" t="s">
        <v>86</v>
      </c>
      <c r="F1696" t="s">
        <v>113</v>
      </c>
      <c r="G1696">
        <v>2</v>
      </c>
      <c r="H1696">
        <v>4183.51</v>
      </c>
      <c r="I1696">
        <v>0.15</v>
      </c>
      <c r="J1696">
        <v>7111.97</v>
      </c>
      <c r="K1696">
        <v>823.01</v>
      </c>
      <c r="L1696">
        <v>3.9</v>
      </c>
      <c r="M1696" s="53">
        <v>45105</v>
      </c>
      <c r="N1696" t="s">
        <v>30</v>
      </c>
      <c r="O1696" t="s">
        <v>73</v>
      </c>
      <c r="P1696" s="54">
        <v>0.115721804225833</v>
      </c>
    </row>
    <row r="1697" spans="1:16">
      <c r="A1697" t="s">
        <v>4109</v>
      </c>
      <c r="B1697" t="s">
        <v>4110</v>
      </c>
      <c r="C1697" t="s">
        <v>4111</v>
      </c>
      <c r="D1697" t="s">
        <v>19</v>
      </c>
      <c r="E1697" t="s">
        <v>129</v>
      </c>
      <c r="F1697" t="s">
        <v>130</v>
      </c>
      <c r="G1697">
        <v>5</v>
      </c>
      <c r="H1697">
        <v>19448.47</v>
      </c>
      <c r="I1697">
        <v>0.2</v>
      </c>
      <c r="J1697">
        <v>77793.88</v>
      </c>
      <c r="K1697">
        <v>12535.53</v>
      </c>
      <c r="L1697">
        <v>3.6</v>
      </c>
      <c r="M1697" s="53">
        <v>44960</v>
      </c>
      <c r="N1697" t="s">
        <v>56</v>
      </c>
      <c r="O1697" t="s">
        <v>23</v>
      </c>
      <c r="P1697" s="54">
        <v>0.161137739883909</v>
      </c>
    </row>
    <row r="1698" spans="1:16">
      <c r="A1698" t="s">
        <v>4112</v>
      </c>
      <c r="B1698" t="s">
        <v>46</v>
      </c>
      <c r="C1698" t="s">
        <v>4113</v>
      </c>
      <c r="D1698" t="s">
        <v>53</v>
      </c>
      <c r="E1698" t="s">
        <v>71</v>
      </c>
      <c r="F1698" t="s">
        <v>150</v>
      </c>
      <c r="G1698">
        <v>2</v>
      </c>
      <c r="H1698">
        <v>10893.22</v>
      </c>
      <c r="I1698">
        <v>0.15</v>
      </c>
      <c r="J1698">
        <v>18518.47</v>
      </c>
      <c r="K1698">
        <v>3450.51</v>
      </c>
      <c r="L1698">
        <v>1.6</v>
      </c>
      <c r="M1698" s="53">
        <v>45253</v>
      </c>
      <c r="N1698" t="s">
        <v>22</v>
      </c>
      <c r="O1698" t="s">
        <v>44</v>
      </c>
      <c r="P1698" s="54">
        <v>0.186328028179434</v>
      </c>
    </row>
    <row r="1699" spans="1:16">
      <c r="A1699" t="s">
        <v>4114</v>
      </c>
      <c r="B1699" t="s">
        <v>4115</v>
      </c>
      <c r="C1699" t="s">
        <v>4116</v>
      </c>
      <c r="D1699" t="s">
        <v>40</v>
      </c>
      <c r="E1699" t="s">
        <v>174</v>
      </c>
      <c r="F1699" t="s">
        <v>202</v>
      </c>
      <c r="G1699">
        <v>2</v>
      </c>
      <c r="H1699">
        <v>19846.13</v>
      </c>
      <c r="I1699">
        <v>0.05</v>
      </c>
      <c r="J1699">
        <v>37707.65</v>
      </c>
      <c r="K1699">
        <v>2988.67</v>
      </c>
      <c r="L1699">
        <v>1.6</v>
      </c>
      <c r="M1699" s="53">
        <v>45337</v>
      </c>
      <c r="N1699" t="s">
        <v>30</v>
      </c>
      <c r="O1699" t="s">
        <v>57</v>
      </c>
      <c r="P1699" s="54">
        <v>0.0792589832567132</v>
      </c>
    </row>
    <row r="1700" spans="1:16">
      <c r="A1700" t="s">
        <v>4117</v>
      </c>
      <c r="B1700" t="s">
        <v>4118</v>
      </c>
      <c r="C1700" t="s">
        <v>4119</v>
      </c>
      <c r="D1700" t="s">
        <v>19</v>
      </c>
      <c r="E1700" t="s">
        <v>86</v>
      </c>
      <c r="F1700" t="s">
        <v>320</v>
      </c>
      <c r="G1700">
        <v>3</v>
      </c>
      <c r="H1700">
        <v>10473.15</v>
      </c>
      <c r="I1700">
        <v>0.2</v>
      </c>
      <c r="J1700">
        <v>25135.56</v>
      </c>
      <c r="K1700">
        <v>4422.9</v>
      </c>
      <c r="L1700">
        <v>3</v>
      </c>
      <c r="M1700" s="53">
        <v>45456</v>
      </c>
      <c r="N1700" t="s">
        <v>43</v>
      </c>
      <c r="O1700" t="s">
        <v>31</v>
      </c>
      <c r="P1700" s="54">
        <v>0.17596186438655</v>
      </c>
    </row>
    <row r="1701" spans="1:16">
      <c r="A1701" t="s">
        <v>4120</v>
      </c>
      <c r="B1701" t="s">
        <v>4121</v>
      </c>
      <c r="C1701" t="s">
        <v>4122</v>
      </c>
      <c r="D1701" t="s">
        <v>53</v>
      </c>
      <c r="E1701" t="s">
        <v>54</v>
      </c>
      <c r="F1701" t="s">
        <v>249</v>
      </c>
      <c r="G1701">
        <v>2</v>
      </c>
      <c r="H1701">
        <v>6600.65</v>
      </c>
      <c r="I1701">
        <v>0.15</v>
      </c>
      <c r="J1701">
        <v>11221.1</v>
      </c>
      <c r="K1701">
        <v>2162.48</v>
      </c>
      <c r="L1701">
        <v>2.3</v>
      </c>
      <c r="M1701" s="53">
        <v>45254</v>
      </c>
      <c r="N1701" t="s">
        <v>56</v>
      </c>
      <c r="O1701" t="s">
        <v>44</v>
      </c>
      <c r="P1701" s="54">
        <v>0.19271550917468</v>
      </c>
    </row>
    <row r="1702" spans="1:16">
      <c r="A1702" t="s">
        <v>4123</v>
      </c>
      <c r="B1702" t="s">
        <v>995</v>
      </c>
      <c r="C1702" t="s">
        <v>3525</v>
      </c>
      <c r="D1702" t="s">
        <v>19</v>
      </c>
      <c r="E1702" t="s">
        <v>35</v>
      </c>
      <c r="F1702" t="s">
        <v>121</v>
      </c>
      <c r="G1702">
        <v>1</v>
      </c>
      <c r="H1702">
        <v>7420.02</v>
      </c>
      <c r="I1702">
        <v>0.05</v>
      </c>
      <c r="J1702">
        <v>7049.02</v>
      </c>
      <c r="K1702">
        <v>1214.26</v>
      </c>
      <c r="L1702">
        <v>2.7</v>
      </c>
      <c r="M1702" s="53">
        <v>45626</v>
      </c>
      <c r="N1702" t="s">
        <v>43</v>
      </c>
      <c r="O1702" t="s">
        <v>23</v>
      </c>
      <c r="P1702" s="54">
        <v>0.172259406272078</v>
      </c>
    </row>
    <row r="1703" spans="1:16">
      <c r="A1703" t="s">
        <v>4124</v>
      </c>
      <c r="B1703" t="s">
        <v>590</v>
      </c>
      <c r="C1703" t="s">
        <v>1080</v>
      </c>
      <c r="D1703" t="s">
        <v>27</v>
      </c>
      <c r="E1703" t="s">
        <v>48</v>
      </c>
      <c r="F1703" t="s">
        <v>77</v>
      </c>
      <c r="G1703">
        <v>2</v>
      </c>
      <c r="H1703">
        <v>11816.67</v>
      </c>
      <c r="I1703">
        <v>0.1</v>
      </c>
      <c r="J1703">
        <v>21270.01</v>
      </c>
      <c r="K1703">
        <v>3925.74</v>
      </c>
      <c r="L1703">
        <v>3.9</v>
      </c>
      <c r="M1703" s="53">
        <v>45141</v>
      </c>
      <c r="N1703" t="s">
        <v>22</v>
      </c>
      <c r="O1703" t="s">
        <v>31</v>
      </c>
      <c r="P1703" s="54">
        <v>0.184566908995341</v>
      </c>
    </row>
    <row r="1704" spans="1:16">
      <c r="A1704" t="s">
        <v>4125</v>
      </c>
      <c r="B1704" t="s">
        <v>2289</v>
      </c>
      <c r="C1704" t="s">
        <v>4126</v>
      </c>
      <c r="D1704" t="s">
        <v>53</v>
      </c>
      <c r="E1704" t="s">
        <v>100</v>
      </c>
      <c r="F1704" t="s">
        <v>267</v>
      </c>
      <c r="G1704">
        <v>3</v>
      </c>
      <c r="H1704">
        <v>9598.17</v>
      </c>
      <c r="I1704">
        <v>0</v>
      </c>
      <c r="J1704">
        <v>28794.51</v>
      </c>
      <c r="K1704">
        <v>6872.7</v>
      </c>
      <c r="L1704">
        <v>1.6</v>
      </c>
      <c r="M1704" s="53">
        <v>45300</v>
      </c>
      <c r="N1704" t="s">
        <v>43</v>
      </c>
      <c r="O1704" t="s">
        <v>73</v>
      </c>
      <c r="P1704" s="54">
        <v>0.23868091521613</v>
      </c>
    </row>
    <row r="1705" spans="1:16">
      <c r="A1705" t="s">
        <v>4127</v>
      </c>
      <c r="B1705" t="s">
        <v>4128</v>
      </c>
      <c r="C1705" t="s">
        <v>4129</v>
      </c>
      <c r="D1705" t="s">
        <v>40</v>
      </c>
      <c r="E1705" t="s">
        <v>81</v>
      </c>
      <c r="F1705" t="s">
        <v>82</v>
      </c>
      <c r="G1705">
        <v>2</v>
      </c>
      <c r="H1705">
        <v>13897.77</v>
      </c>
      <c r="I1705">
        <v>0.1</v>
      </c>
      <c r="J1705">
        <v>25015.99</v>
      </c>
      <c r="K1705">
        <v>2709.46</v>
      </c>
      <c r="L1705">
        <v>2.8</v>
      </c>
      <c r="M1705" s="53">
        <v>45402</v>
      </c>
      <c r="N1705" t="s">
        <v>22</v>
      </c>
      <c r="O1705" t="s">
        <v>44</v>
      </c>
      <c r="P1705" s="54">
        <v>0.108309125483341</v>
      </c>
    </row>
    <row r="1706" spans="1:16">
      <c r="A1706" t="s">
        <v>4130</v>
      </c>
      <c r="B1706" t="s">
        <v>1814</v>
      </c>
      <c r="C1706" t="s">
        <v>4007</v>
      </c>
      <c r="D1706" t="s">
        <v>19</v>
      </c>
      <c r="E1706" t="s">
        <v>35</v>
      </c>
      <c r="F1706" t="s">
        <v>36</v>
      </c>
      <c r="G1706">
        <v>1</v>
      </c>
      <c r="H1706">
        <v>695.28</v>
      </c>
      <c r="I1706">
        <v>0.05</v>
      </c>
      <c r="J1706">
        <v>660.52</v>
      </c>
      <c r="K1706">
        <v>41.76</v>
      </c>
      <c r="L1706">
        <v>3.7</v>
      </c>
      <c r="M1706" s="53">
        <v>45384</v>
      </c>
      <c r="N1706" t="s">
        <v>56</v>
      </c>
      <c r="O1706" t="s">
        <v>73</v>
      </c>
      <c r="P1706" s="54">
        <v>0.0632229152788712</v>
      </c>
    </row>
    <row r="1707" spans="1:16">
      <c r="A1707" t="s">
        <v>4131</v>
      </c>
      <c r="B1707" t="s">
        <v>294</v>
      </c>
      <c r="C1707" t="s">
        <v>4132</v>
      </c>
      <c r="D1707" t="s">
        <v>53</v>
      </c>
      <c r="E1707" t="s">
        <v>71</v>
      </c>
      <c r="F1707" t="s">
        <v>72</v>
      </c>
      <c r="G1707">
        <v>3</v>
      </c>
      <c r="H1707">
        <v>15929.05</v>
      </c>
      <c r="I1707">
        <v>0</v>
      </c>
      <c r="J1707">
        <v>47787.15</v>
      </c>
      <c r="K1707">
        <v>7698.16</v>
      </c>
      <c r="L1707">
        <v>4.9</v>
      </c>
      <c r="M1707" s="53">
        <v>44968</v>
      </c>
      <c r="N1707" t="s">
        <v>22</v>
      </c>
      <c r="O1707" t="s">
        <v>57</v>
      </c>
      <c r="P1707" s="54">
        <v>0.161092678680357</v>
      </c>
    </row>
    <row r="1708" spans="1:16">
      <c r="A1708" t="s">
        <v>4133</v>
      </c>
      <c r="B1708" t="s">
        <v>4134</v>
      </c>
      <c r="C1708" t="s">
        <v>4135</v>
      </c>
      <c r="D1708" t="s">
        <v>19</v>
      </c>
      <c r="E1708" t="s">
        <v>20</v>
      </c>
      <c r="F1708" t="s">
        <v>454</v>
      </c>
      <c r="G1708">
        <v>1</v>
      </c>
      <c r="H1708">
        <v>3216.4</v>
      </c>
      <c r="I1708">
        <v>0</v>
      </c>
      <c r="J1708">
        <v>3216.4</v>
      </c>
      <c r="K1708">
        <v>459.3</v>
      </c>
      <c r="L1708">
        <v>3.4</v>
      </c>
      <c r="M1708" s="53">
        <v>45036</v>
      </c>
      <c r="N1708" t="s">
        <v>22</v>
      </c>
      <c r="O1708" t="s">
        <v>44</v>
      </c>
      <c r="P1708" s="54">
        <v>0.142799403059321</v>
      </c>
    </row>
    <row r="1709" spans="1:16">
      <c r="A1709" t="s">
        <v>4136</v>
      </c>
      <c r="B1709" t="s">
        <v>276</v>
      </c>
      <c r="C1709" t="s">
        <v>4137</v>
      </c>
      <c r="D1709" t="s">
        <v>40</v>
      </c>
      <c r="E1709" t="s">
        <v>262</v>
      </c>
      <c r="F1709" t="s">
        <v>385</v>
      </c>
      <c r="G1709">
        <v>2</v>
      </c>
      <c r="H1709">
        <v>12999.44</v>
      </c>
      <c r="I1709">
        <v>0.15</v>
      </c>
      <c r="J1709">
        <v>22099.05</v>
      </c>
      <c r="K1709">
        <v>2928.1</v>
      </c>
      <c r="L1709">
        <v>1.3</v>
      </c>
      <c r="M1709" s="53">
        <v>45074</v>
      </c>
      <c r="N1709" t="s">
        <v>22</v>
      </c>
      <c r="O1709" t="s">
        <v>57</v>
      </c>
      <c r="P1709" s="54">
        <v>0.132498908324114</v>
      </c>
    </row>
    <row r="1710" spans="1:16">
      <c r="A1710" t="s">
        <v>4138</v>
      </c>
      <c r="B1710" t="s">
        <v>937</v>
      </c>
      <c r="C1710" t="s">
        <v>2275</v>
      </c>
      <c r="D1710" t="s">
        <v>40</v>
      </c>
      <c r="E1710" t="s">
        <v>262</v>
      </c>
      <c r="F1710" t="s">
        <v>345</v>
      </c>
      <c r="G1710">
        <v>3</v>
      </c>
      <c r="H1710">
        <v>4782.66</v>
      </c>
      <c r="I1710">
        <v>0.1</v>
      </c>
      <c r="J1710">
        <v>12913.18</v>
      </c>
      <c r="K1710">
        <v>2623.5</v>
      </c>
      <c r="L1710">
        <v>3.6</v>
      </c>
      <c r="M1710" s="53">
        <v>45034</v>
      </c>
      <c r="N1710" t="s">
        <v>22</v>
      </c>
      <c r="O1710" t="s">
        <v>23</v>
      </c>
      <c r="P1710" s="54">
        <v>0.203164518732024</v>
      </c>
    </row>
    <row r="1711" spans="1:16">
      <c r="A1711" t="s">
        <v>4139</v>
      </c>
      <c r="B1711" t="s">
        <v>381</v>
      </c>
      <c r="C1711" t="s">
        <v>3886</v>
      </c>
      <c r="D1711" t="s">
        <v>19</v>
      </c>
      <c r="E1711" t="s">
        <v>86</v>
      </c>
      <c r="F1711" t="s">
        <v>182</v>
      </c>
      <c r="G1711">
        <v>3</v>
      </c>
      <c r="H1711">
        <v>7108.38</v>
      </c>
      <c r="I1711">
        <v>0.2</v>
      </c>
      <c r="J1711">
        <v>17060.11</v>
      </c>
      <c r="K1711">
        <v>3182.03</v>
      </c>
      <c r="L1711">
        <v>1.6</v>
      </c>
      <c r="M1711" s="53">
        <v>45435</v>
      </c>
      <c r="N1711" t="s">
        <v>56</v>
      </c>
      <c r="O1711" t="s">
        <v>23</v>
      </c>
      <c r="P1711" s="54">
        <v>0.186518727018759</v>
      </c>
    </row>
    <row r="1712" spans="1:16">
      <c r="A1712" t="s">
        <v>4140</v>
      </c>
      <c r="B1712" t="s">
        <v>2823</v>
      </c>
      <c r="C1712" t="s">
        <v>4141</v>
      </c>
      <c r="D1712" t="s">
        <v>53</v>
      </c>
      <c r="E1712" t="s">
        <v>54</v>
      </c>
      <c r="F1712" t="s">
        <v>109</v>
      </c>
      <c r="G1712">
        <v>3</v>
      </c>
      <c r="H1712">
        <v>2661.85</v>
      </c>
      <c r="I1712">
        <v>0.05</v>
      </c>
      <c r="J1712">
        <v>7586.27</v>
      </c>
      <c r="K1712">
        <v>880.5</v>
      </c>
      <c r="L1712">
        <v>1.9</v>
      </c>
      <c r="M1712" s="53">
        <v>45326</v>
      </c>
      <c r="N1712" t="s">
        <v>43</v>
      </c>
      <c r="O1712" t="s">
        <v>31</v>
      </c>
      <c r="P1712" s="54">
        <v>0.116064943641605</v>
      </c>
    </row>
    <row r="1713" spans="1:16">
      <c r="A1713" t="s">
        <v>4142</v>
      </c>
      <c r="B1713" t="s">
        <v>1637</v>
      </c>
      <c r="C1713" t="s">
        <v>4143</v>
      </c>
      <c r="D1713" t="s">
        <v>40</v>
      </c>
      <c r="E1713" t="s">
        <v>262</v>
      </c>
      <c r="F1713" t="s">
        <v>773</v>
      </c>
      <c r="G1713">
        <v>1</v>
      </c>
      <c r="H1713">
        <v>2669.31</v>
      </c>
      <c r="I1713">
        <v>0.05</v>
      </c>
      <c r="J1713">
        <v>2535.84</v>
      </c>
      <c r="K1713">
        <v>247.19</v>
      </c>
      <c r="L1713">
        <v>4.1</v>
      </c>
      <c r="M1713" s="53">
        <v>45500</v>
      </c>
      <c r="N1713" t="s">
        <v>22</v>
      </c>
      <c r="O1713" t="s">
        <v>57</v>
      </c>
      <c r="P1713" s="54">
        <v>0.0974785475424317</v>
      </c>
    </row>
    <row r="1714" spans="1:16">
      <c r="A1714" t="s">
        <v>4144</v>
      </c>
      <c r="B1714" t="s">
        <v>4134</v>
      </c>
      <c r="C1714" t="s">
        <v>4145</v>
      </c>
      <c r="D1714" t="s">
        <v>40</v>
      </c>
      <c r="E1714" t="s">
        <v>262</v>
      </c>
      <c r="F1714" t="s">
        <v>263</v>
      </c>
      <c r="G1714">
        <v>1</v>
      </c>
      <c r="H1714">
        <v>10988.44</v>
      </c>
      <c r="I1714">
        <v>0.15</v>
      </c>
      <c r="J1714">
        <v>9340.17</v>
      </c>
      <c r="K1714">
        <v>1841.99</v>
      </c>
      <c r="L1714">
        <v>3.5</v>
      </c>
      <c r="M1714" s="53">
        <v>45375</v>
      </c>
      <c r="N1714" t="s">
        <v>43</v>
      </c>
      <c r="O1714" t="s">
        <v>57</v>
      </c>
      <c r="P1714" s="54">
        <v>0.197211613921374</v>
      </c>
    </row>
    <row r="1715" spans="1:16">
      <c r="A1715" t="s">
        <v>4146</v>
      </c>
      <c r="B1715" t="s">
        <v>4147</v>
      </c>
      <c r="C1715" t="s">
        <v>1010</v>
      </c>
      <c r="D1715" t="s">
        <v>27</v>
      </c>
      <c r="E1715" t="s">
        <v>28</v>
      </c>
      <c r="F1715" t="s">
        <v>192</v>
      </c>
      <c r="G1715">
        <v>1</v>
      </c>
      <c r="H1715">
        <v>10890.19</v>
      </c>
      <c r="I1715">
        <v>0.05</v>
      </c>
      <c r="J1715">
        <v>10345.68</v>
      </c>
      <c r="K1715">
        <v>1978.68</v>
      </c>
      <c r="L1715">
        <v>2.1</v>
      </c>
      <c r="M1715" s="53">
        <v>45204</v>
      </c>
      <c r="N1715" t="s">
        <v>22</v>
      </c>
      <c r="O1715" t="s">
        <v>57</v>
      </c>
      <c r="P1715" s="54">
        <v>0.191256640452827</v>
      </c>
    </row>
    <row r="1716" spans="1:16">
      <c r="A1716" t="s">
        <v>4148</v>
      </c>
      <c r="B1716" t="s">
        <v>1408</v>
      </c>
      <c r="C1716" t="s">
        <v>4149</v>
      </c>
      <c r="D1716" t="s">
        <v>19</v>
      </c>
      <c r="E1716" t="s">
        <v>86</v>
      </c>
      <c r="F1716" t="s">
        <v>113</v>
      </c>
      <c r="G1716">
        <v>1</v>
      </c>
      <c r="H1716">
        <v>438.54</v>
      </c>
      <c r="I1716">
        <v>0.2</v>
      </c>
      <c r="J1716">
        <v>350.83</v>
      </c>
      <c r="K1716">
        <v>61.42</v>
      </c>
      <c r="L1716">
        <v>2.9</v>
      </c>
      <c r="M1716" s="53">
        <v>45386</v>
      </c>
      <c r="N1716" t="s">
        <v>30</v>
      </c>
      <c r="O1716" t="s">
        <v>57</v>
      </c>
      <c r="P1716" s="54">
        <v>0.17507054698857</v>
      </c>
    </row>
    <row r="1717" spans="1:16">
      <c r="A1717" t="s">
        <v>4150</v>
      </c>
      <c r="B1717" t="s">
        <v>1214</v>
      </c>
      <c r="C1717" t="s">
        <v>4151</v>
      </c>
      <c r="D1717" t="s">
        <v>40</v>
      </c>
      <c r="E1717" t="s">
        <v>174</v>
      </c>
      <c r="F1717" t="s">
        <v>202</v>
      </c>
      <c r="G1717">
        <v>1</v>
      </c>
      <c r="H1717">
        <v>15794.87</v>
      </c>
      <c r="I1717">
        <v>0</v>
      </c>
      <c r="J1717">
        <v>15794.87</v>
      </c>
      <c r="K1717">
        <v>2035.41</v>
      </c>
      <c r="L1717">
        <v>1.5</v>
      </c>
      <c r="M1717" s="53">
        <v>45318</v>
      </c>
      <c r="N1717" t="s">
        <v>43</v>
      </c>
      <c r="O1717" t="s">
        <v>44</v>
      </c>
      <c r="P1717" s="54">
        <v>0.128865258150273</v>
      </c>
    </row>
    <row r="1718" spans="1:16">
      <c r="A1718" t="s">
        <v>4152</v>
      </c>
      <c r="B1718" t="s">
        <v>4153</v>
      </c>
      <c r="C1718" t="s">
        <v>4154</v>
      </c>
      <c r="D1718" t="s">
        <v>27</v>
      </c>
      <c r="E1718" t="s">
        <v>233</v>
      </c>
      <c r="F1718" t="s">
        <v>362</v>
      </c>
      <c r="G1718">
        <v>2</v>
      </c>
      <c r="H1718">
        <v>4608.12</v>
      </c>
      <c r="I1718">
        <v>0.15</v>
      </c>
      <c r="J1718">
        <v>7833.8</v>
      </c>
      <c r="K1718">
        <v>595.29</v>
      </c>
      <c r="L1718">
        <v>1.7</v>
      </c>
      <c r="M1718" s="53">
        <v>45327</v>
      </c>
      <c r="N1718" t="s">
        <v>30</v>
      </c>
      <c r="O1718" t="s">
        <v>44</v>
      </c>
      <c r="P1718" s="54">
        <v>0.07598994102479</v>
      </c>
    </row>
    <row r="1719" spans="1:16">
      <c r="A1719" t="s">
        <v>4155</v>
      </c>
      <c r="B1719" t="s">
        <v>657</v>
      </c>
      <c r="C1719" t="s">
        <v>3785</v>
      </c>
      <c r="D1719" t="s">
        <v>19</v>
      </c>
      <c r="E1719" t="s">
        <v>35</v>
      </c>
      <c r="F1719" t="s">
        <v>121</v>
      </c>
      <c r="G1719">
        <v>5</v>
      </c>
      <c r="H1719">
        <v>11076.63</v>
      </c>
      <c r="I1719">
        <v>0</v>
      </c>
      <c r="J1719">
        <v>55383.15</v>
      </c>
      <c r="K1719">
        <v>11805.65</v>
      </c>
      <c r="L1719">
        <v>4.4</v>
      </c>
      <c r="M1719" s="53">
        <v>45585</v>
      </c>
      <c r="N1719" t="s">
        <v>56</v>
      </c>
      <c r="O1719" t="s">
        <v>73</v>
      </c>
      <c r="P1719" s="54">
        <v>0.213163209387693</v>
      </c>
    </row>
    <row r="1720" spans="1:16">
      <c r="A1720" t="s">
        <v>4156</v>
      </c>
      <c r="B1720" t="s">
        <v>2077</v>
      </c>
      <c r="C1720" t="s">
        <v>4157</v>
      </c>
      <c r="D1720" t="s">
        <v>19</v>
      </c>
      <c r="E1720" t="s">
        <v>129</v>
      </c>
      <c r="F1720" t="s">
        <v>130</v>
      </c>
      <c r="G1720">
        <v>1</v>
      </c>
      <c r="H1720">
        <v>18592.78</v>
      </c>
      <c r="I1720">
        <v>0.2</v>
      </c>
      <c r="J1720">
        <v>14874.22</v>
      </c>
      <c r="K1720">
        <v>2957.29</v>
      </c>
      <c r="L1720">
        <v>1.9</v>
      </c>
      <c r="M1720" s="53">
        <v>45595</v>
      </c>
      <c r="N1720" t="s">
        <v>43</v>
      </c>
      <c r="O1720" t="s">
        <v>57</v>
      </c>
      <c r="P1720" s="54">
        <v>0.198819837275501</v>
      </c>
    </row>
    <row r="1721" spans="1:16">
      <c r="A1721" t="s">
        <v>4158</v>
      </c>
      <c r="B1721" t="s">
        <v>1149</v>
      </c>
      <c r="C1721" t="s">
        <v>4159</v>
      </c>
      <c r="D1721" t="s">
        <v>27</v>
      </c>
      <c r="E1721" t="s">
        <v>233</v>
      </c>
      <c r="F1721" t="s">
        <v>665</v>
      </c>
      <c r="G1721">
        <v>2</v>
      </c>
      <c r="H1721">
        <v>19455.35</v>
      </c>
      <c r="I1721">
        <v>0</v>
      </c>
      <c r="J1721">
        <v>38910.7</v>
      </c>
      <c r="K1721">
        <v>4542.28</v>
      </c>
      <c r="L1721">
        <v>4</v>
      </c>
      <c r="M1721" s="53">
        <v>45467</v>
      </c>
      <c r="N1721" t="s">
        <v>56</v>
      </c>
      <c r="O1721" t="s">
        <v>23</v>
      </c>
      <c r="P1721" s="54">
        <v>0.116736013487293</v>
      </c>
    </row>
    <row r="1722" spans="1:16">
      <c r="A1722" t="s">
        <v>4160</v>
      </c>
      <c r="B1722" t="s">
        <v>2917</v>
      </c>
      <c r="C1722" t="s">
        <v>4161</v>
      </c>
      <c r="D1722" t="s">
        <v>40</v>
      </c>
      <c r="E1722" t="s">
        <v>81</v>
      </c>
      <c r="F1722" t="s">
        <v>263</v>
      </c>
      <c r="G1722">
        <v>2</v>
      </c>
      <c r="H1722">
        <v>8520.55</v>
      </c>
      <c r="I1722">
        <v>0.05</v>
      </c>
      <c r="J1722">
        <v>16189.04</v>
      </c>
      <c r="K1722">
        <v>3484.74</v>
      </c>
      <c r="L1722">
        <v>2.1</v>
      </c>
      <c r="M1722" s="53">
        <v>45332</v>
      </c>
      <c r="N1722" t="s">
        <v>43</v>
      </c>
      <c r="O1722" t="s">
        <v>57</v>
      </c>
      <c r="P1722" s="54">
        <v>0.215253035386904</v>
      </c>
    </row>
    <row r="1723" spans="1:16">
      <c r="A1723" t="s">
        <v>4162</v>
      </c>
      <c r="B1723" t="s">
        <v>2203</v>
      </c>
      <c r="C1723" t="s">
        <v>4163</v>
      </c>
      <c r="D1723" t="s">
        <v>40</v>
      </c>
      <c r="E1723" t="s">
        <v>262</v>
      </c>
      <c r="F1723" t="s">
        <v>263</v>
      </c>
      <c r="G1723">
        <v>4</v>
      </c>
      <c r="H1723">
        <v>8296.32</v>
      </c>
      <c r="I1723">
        <v>0.1</v>
      </c>
      <c r="J1723">
        <v>29866.75</v>
      </c>
      <c r="K1723">
        <v>4182.04</v>
      </c>
      <c r="L1723">
        <v>4.7</v>
      </c>
      <c r="M1723" s="53">
        <v>45449</v>
      </c>
      <c r="N1723" t="s">
        <v>22</v>
      </c>
      <c r="O1723" t="s">
        <v>57</v>
      </c>
      <c r="P1723" s="54">
        <v>0.140023270024358</v>
      </c>
    </row>
    <row r="1724" spans="1:16">
      <c r="A1724" t="s">
        <v>4164</v>
      </c>
      <c r="B1724" t="s">
        <v>2101</v>
      </c>
      <c r="C1724" t="s">
        <v>1658</v>
      </c>
      <c r="D1724" t="s">
        <v>27</v>
      </c>
      <c r="E1724" t="s">
        <v>233</v>
      </c>
      <c r="F1724" t="s">
        <v>234</v>
      </c>
      <c r="G1724">
        <v>2</v>
      </c>
      <c r="H1724">
        <v>5684.19</v>
      </c>
      <c r="I1724">
        <v>0.05</v>
      </c>
      <c r="J1724">
        <v>10799.96</v>
      </c>
      <c r="K1724">
        <v>1881.18</v>
      </c>
      <c r="L1724">
        <v>4.1</v>
      </c>
      <c r="M1724" s="53">
        <v>45355</v>
      </c>
      <c r="N1724" t="s">
        <v>43</v>
      </c>
      <c r="O1724" t="s">
        <v>57</v>
      </c>
      <c r="P1724" s="54">
        <v>0.174183978459179</v>
      </c>
    </row>
    <row r="1725" spans="1:16">
      <c r="A1725" t="s">
        <v>4165</v>
      </c>
      <c r="B1725" t="s">
        <v>1577</v>
      </c>
      <c r="C1725" t="s">
        <v>4166</v>
      </c>
      <c r="D1725" t="s">
        <v>40</v>
      </c>
      <c r="E1725" t="s">
        <v>262</v>
      </c>
      <c r="F1725" t="s">
        <v>345</v>
      </c>
      <c r="G1725">
        <v>4</v>
      </c>
      <c r="H1725">
        <v>6208.86</v>
      </c>
      <c r="I1725">
        <v>0</v>
      </c>
      <c r="J1725">
        <v>24835.44</v>
      </c>
      <c r="K1725">
        <v>5400.68</v>
      </c>
      <c r="L1725">
        <v>2.6</v>
      </c>
      <c r="M1725" s="53">
        <v>45237</v>
      </c>
      <c r="N1725" t="s">
        <v>56</v>
      </c>
      <c r="O1725" t="s">
        <v>73</v>
      </c>
      <c r="P1725" s="54">
        <v>0.217458599485252</v>
      </c>
    </row>
    <row r="1726" spans="1:16">
      <c r="A1726" t="s">
        <v>4167</v>
      </c>
      <c r="B1726" t="s">
        <v>718</v>
      </c>
      <c r="C1726" t="s">
        <v>4168</v>
      </c>
      <c r="D1726" t="s">
        <v>27</v>
      </c>
      <c r="E1726" t="s">
        <v>233</v>
      </c>
      <c r="F1726" t="s">
        <v>362</v>
      </c>
      <c r="G1726">
        <v>4</v>
      </c>
      <c r="H1726">
        <v>19030.15</v>
      </c>
      <c r="I1726">
        <v>0</v>
      </c>
      <c r="J1726">
        <v>76120.6</v>
      </c>
      <c r="K1726">
        <v>8928.21</v>
      </c>
      <c r="L1726">
        <v>3.6</v>
      </c>
      <c r="M1726" s="53">
        <v>45383</v>
      </c>
      <c r="N1726" t="s">
        <v>30</v>
      </c>
      <c r="O1726" t="s">
        <v>57</v>
      </c>
      <c r="P1726" s="54">
        <v>0.117290326140362</v>
      </c>
    </row>
    <row r="1727" spans="1:16">
      <c r="A1727" t="s">
        <v>4169</v>
      </c>
      <c r="B1727" t="s">
        <v>69</v>
      </c>
      <c r="C1727" t="s">
        <v>4170</v>
      </c>
      <c r="D1727" t="s">
        <v>53</v>
      </c>
      <c r="E1727" t="s">
        <v>100</v>
      </c>
      <c r="F1727" t="s">
        <v>271</v>
      </c>
      <c r="G1727">
        <v>4</v>
      </c>
      <c r="H1727">
        <v>2741.19</v>
      </c>
      <c r="I1727">
        <v>0.15</v>
      </c>
      <c r="J1727">
        <v>9320.05</v>
      </c>
      <c r="K1727">
        <v>823.71</v>
      </c>
      <c r="L1727">
        <v>2.9</v>
      </c>
      <c r="M1727" s="53">
        <v>45634</v>
      </c>
      <c r="N1727" t="s">
        <v>43</v>
      </c>
      <c r="O1727" t="s">
        <v>31</v>
      </c>
      <c r="P1727" s="54">
        <v>0.0883804271436312</v>
      </c>
    </row>
    <row r="1728" spans="1:16">
      <c r="A1728" t="s">
        <v>4171</v>
      </c>
      <c r="B1728" t="s">
        <v>1574</v>
      </c>
      <c r="C1728" t="s">
        <v>4172</v>
      </c>
      <c r="D1728" t="s">
        <v>40</v>
      </c>
      <c r="E1728" t="s">
        <v>41</v>
      </c>
      <c r="F1728" t="s">
        <v>42</v>
      </c>
      <c r="G1728">
        <v>1</v>
      </c>
      <c r="H1728">
        <v>16774.06</v>
      </c>
      <c r="I1728">
        <v>0.1</v>
      </c>
      <c r="J1728">
        <v>15096.65</v>
      </c>
      <c r="K1728">
        <v>2551.12</v>
      </c>
      <c r="L1728">
        <v>1.9</v>
      </c>
      <c r="M1728" s="53">
        <v>45469</v>
      </c>
      <c r="N1728" t="s">
        <v>30</v>
      </c>
      <c r="O1728" t="s">
        <v>73</v>
      </c>
      <c r="P1728" s="54">
        <v>0.168985834605691</v>
      </c>
    </row>
    <row r="1729" spans="1:16">
      <c r="A1729" t="s">
        <v>4173</v>
      </c>
      <c r="B1729" t="s">
        <v>1905</v>
      </c>
      <c r="C1729" t="s">
        <v>3737</v>
      </c>
      <c r="D1729" t="s">
        <v>40</v>
      </c>
      <c r="E1729" t="s">
        <v>262</v>
      </c>
      <c r="F1729" t="s">
        <v>385</v>
      </c>
      <c r="G1729">
        <v>4</v>
      </c>
      <c r="H1729">
        <v>8031.45</v>
      </c>
      <c r="I1729">
        <v>0</v>
      </c>
      <c r="J1729">
        <v>32125.8</v>
      </c>
      <c r="K1729">
        <v>4502.74</v>
      </c>
      <c r="L1729">
        <v>1.2</v>
      </c>
      <c r="M1729" s="53">
        <v>44945</v>
      </c>
      <c r="N1729" t="s">
        <v>56</v>
      </c>
      <c r="O1729" t="s">
        <v>44</v>
      </c>
      <c r="P1729" s="54">
        <v>0.140159622484109</v>
      </c>
    </row>
    <row r="1730" spans="1:16">
      <c r="A1730" t="s">
        <v>4174</v>
      </c>
      <c r="B1730" t="s">
        <v>934</v>
      </c>
      <c r="C1730" t="s">
        <v>4175</v>
      </c>
      <c r="D1730" t="s">
        <v>40</v>
      </c>
      <c r="E1730" t="s">
        <v>41</v>
      </c>
      <c r="F1730" t="s">
        <v>154</v>
      </c>
      <c r="G1730">
        <v>5</v>
      </c>
      <c r="H1730">
        <v>4060.05</v>
      </c>
      <c r="I1730">
        <v>0</v>
      </c>
      <c r="J1730">
        <v>20300.25</v>
      </c>
      <c r="K1730">
        <v>4639.8</v>
      </c>
      <c r="L1730">
        <v>3.5</v>
      </c>
      <c r="M1730" s="53">
        <v>45476</v>
      </c>
      <c r="N1730" t="s">
        <v>30</v>
      </c>
      <c r="O1730" t="s">
        <v>31</v>
      </c>
      <c r="P1730" s="54">
        <v>0.228558761591606</v>
      </c>
    </row>
    <row r="1731" spans="1:16">
      <c r="A1731" t="s">
        <v>4176</v>
      </c>
      <c r="B1731" t="s">
        <v>2092</v>
      </c>
      <c r="C1731" t="s">
        <v>4177</v>
      </c>
      <c r="D1731" t="s">
        <v>53</v>
      </c>
      <c r="E1731" t="s">
        <v>54</v>
      </c>
      <c r="F1731" t="s">
        <v>258</v>
      </c>
      <c r="G1731">
        <v>4</v>
      </c>
      <c r="H1731">
        <v>16034.05</v>
      </c>
      <c r="I1731">
        <v>0</v>
      </c>
      <c r="J1731">
        <v>64136.2</v>
      </c>
      <c r="K1731">
        <v>8941.94</v>
      </c>
      <c r="L1731">
        <v>4.4</v>
      </c>
      <c r="M1731" s="53">
        <v>45199</v>
      </c>
      <c r="N1731" t="s">
        <v>22</v>
      </c>
      <c r="O1731" t="s">
        <v>23</v>
      </c>
      <c r="P1731" s="54">
        <v>0.139421106956758</v>
      </c>
    </row>
    <row r="1732" spans="1:16">
      <c r="A1732" t="s">
        <v>4178</v>
      </c>
      <c r="B1732" t="s">
        <v>2530</v>
      </c>
      <c r="C1732" t="s">
        <v>4179</v>
      </c>
      <c r="D1732" t="s">
        <v>40</v>
      </c>
      <c r="E1732" t="s">
        <v>262</v>
      </c>
      <c r="F1732" t="s">
        <v>345</v>
      </c>
      <c r="G1732">
        <v>1</v>
      </c>
      <c r="H1732">
        <v>14592.67</v>
      </c>
      <c r="I1732">
        <v>0.05</v>
      </c>
      <c r="J1732">
        <v>13863.04</v>
      </c>
      <c r="K1732">
        <v>2653.99</v>
      </c>
      <c r="L1732">
        <v>2.9</v>
      </c>
      <c r="M1732" s="53">
        <v>45597</v>
      </c>
      <c r="N1732" t="s">
        <v>22</v>
      </c>
      <c r="O1732" t="s">
        <v>23</v>
      </c>
      <c r="P1732" s="54">
        <v>0.191443579474632</v>
      </c>
    </row>
    <row r="1733" spans="1:16">
      <c r="A1733" t="s">
        <v>4180</v>
      </c>
      <c r="B1733" t="s">
        <v>2147</v>
      </c>
      <c r="C1733" t="s">
        <v>4181</v>
      </c>
      <c r="D1733" t="s">
        <v>19</v>
      </c>
      <c r="E1733" t="s">
        <v>129</v>
      </c>
      <c r="F1733" t="s">
        <v>130</v>
      </c>
      <c r="G1733">
        <v>3</v>
      </c>
      <c r="H1733">
        <v>11519.56</v>
      </c>
      <c r="I1733">
        <v>0</v>
      </c>
      <c r="J1733">
        <v>34558.68</v>
      </c>
      <c r="K1733">
        <v>1783.39</v>
      </c>
      <c r="L1733">
        <v>1</v>
      </c>
      <c r="M1733" s="53">
        <v>45282</v>
      </c>
      <c r="N1733" t="s">
        <v>43</v>
      </c>
      <c r="O1733" t="s">
        <v>57</v>
      </c>
      <c r="P1733" s="54">
        <v>0.0516046909199078</v>
      </c>
    </row>
    <row r="1734" spans="1:16">
      <c r="A1734" t="s">
        <v>4182</v>
      </c>
      <c r="B1734" t="s">
        <v>1540</v>
      </c>
      <c r="C1734" t="s">
        <v>4183</v>
      </c>
      <c r="D1734" t="s">
        <v>40</v>
      </c>
      <c r="E1734" t="s">
        <v>41</v>
      </c>
      <c r="F1734" t="s">
        <v>125</v>
      </c>
      <c r="G1734">
        <v>3</v>
      </c>
      <c r="H1734">
        <v>16923.99</v>
      </c>
      <c r="I1734">
        <v>0.15</v>
      </c>
      <c r="J1734">
        <v>43156.17</v>
      </c>
      <c r="K1734">
        <v>9851.52</v>
      </c>
      <c r="L1734">
        <v>1.5</v>
      </c>
      <c r="M1734" s="53">
        <v>45406</v>
      </c>
      <c r="N1734" t="s">
        <v>56</v>
      </c>
      <c r="O1734" t="s">
        <v>31</v>
      </c>
      <c r="P1734" s="54">
        <v>0.228276049519686</v>
      </c>
    </row>
    <row r="1735" spans="1:16">
      <c r="A1735" t="s">
        <v>4184</v>
      </c>
      <c r="B1735" t="s">
        <v>1188</v>
      </c>
      <c r="C1735" t="s">
        <v>3492</v>
      </c>
      <c r="D1735" t="s">
        <v>40</v>
      </c>
      <c r="E1735" t="s">
        <v>81</v>
      </c>
      <c r="F1735" t="s">
        <v>358</v>
      </c>
      <c r="G1735">
        <v>2</v>
      </c>
      <c r="H1735">
        <v>9544.46</v>
      </c>
      <c r="I1735">
        <v>0.2</v>
      </c>
      <c r="J1735">
        <v>15271.14</v>
      </c>
      <c r="K1735">
        <v>3555.5</v>
      </c>
      <c r="L1735">
        <v>1.2</v>
      </c>
      <c r="M1735" s="53">
        <v>45214</v>
      </c>
      <c r="N1735" t="s">
        <v>43</v>
      </c>
      <c r="O1735" t="s">
        <v>73</v>
      </c>
      <c r="P1735" s="54">
        <v>0.232824792386161</v>
      </c>
    </row>
    <row r="1736" spans="1:16">
      <c r="A1736" t="s">
        <v>4185</v>
      </c>
      <c r="B1736" t="s">
        <v>4186</v>
      </c>
      <c r="C1736" t="s">
        <v>4187</v>
      </c>
      <c r="D1736" t="s">
        <v>27</v>
      </c>
      <c r="E1736" t="s">
        <v>233</v>
      </c>
      <c r="F1736" t="s">
        <v>665</v>
      </c>
      <c r="G1736">
        <v>5</v>
      </c>
      <c r="H1736">
        <v>11069</v>
      </c>
      <c r="I1736">
        <v>0.05</v>
      </c>
      <c r="J1736">
        <v>52577.75</v>
      </c>
      <c r="K1736">
        <v>11230.12</v>
      </c>
      <c r="L1736">
        <v>1.5</v>
      </c>
      <c r="M1736" s="53">
        <v>45510</v>
      </c>
      <c r="N1736" t="s">
        <v>56</v>
      </c>
      <c r="O1736" t="s">
        <v>31</v>
      </c>
      <c r="P1736" s="54">
        <v>0.213590729919025</v>
      </c>
    </row>
    <row r="1737" spans="1:16">
      <c r="A1737" t="s">
        <v>4188</v>
      </c>
      <c r="B1737" t="s">
        <v>1779</v>
      </c>
      <c r="C1737" t="s">
        <v>2661</v>
      </c>
      <c r="D1737" t="s">
        <v>19</v>
      </c>
      <c r="E1737" t="s">
        <v>35</v>
      </c>
      <c r="F1737" t="s">
        <v>121</v>
      </c>
      <c r="G1737">
        <v>3</v>
      </c>
      <c r="H1737">
        <v>13633.45</v>
      </c>
      <c r="I1737">
        <v>0.2</v>
      </c>
      <c r="J1737">
        <v>32720.28</v>
      </c>
      <c r="K1737">
        <v>2038.76</v>
      </c>
      <c r="L1737">
        <v>4.3</v>
      </c>
      <c r="M1737" s="53">
        <v>45475</v>
      </c>
      <c r="N1737" t="s">
        <v>56</v>
      </c>
      <c r="O1737" t="s">
        <v>73</v>
      </c>
      <c r="P1737" s="54">
        <v>0.0623087577490168</v>
      </c>
    </row>
    <row r="1738" spans="1:16">
      <c r="A1738" t="s">
        <v>4189</v>
      </c>
      <c r="B1738" t="s">
        <v>4190</v>
      </c>
      <c r="C1738" t="s">
        <v>3562</v>
      </c>
      <c r="D1738" t="s">
        <v>27</v>
      </c>
      <c r="E1738" t="s">
        <v>28</v>
      </c>
      <c r="F1738" t="s">
        <v>225</v>
      </c>
      <c r="G1738">
        <v>5</v>
      </c>
      <c r="H1738">
        <v>13843.85</v>
      </c>
      <c r="I1738">
        <v>0.1</v>
      </c>
      <c r="J1738">
        <v>62297.33</v>
      </c>
      <c r="K1738">
        <v>14411.47</v>
      </c>
      <c r="L1738">
        <v>2.2</v>
      </c>
      <c r="M1738" s="53">
        <v>45330</v>
      </c>
      <c r="N1738" t="s">
        <v>43</v>
      </c>
      <c r="O1738" t="s">
        <v>23</v>
      </c>
      <c r="P1738" s="54">
        <v>0.231333670319418</v>
      </c>
    </row>
    <row r="1739" spans="1:16">
      <c r="A1739" t="s">
        <v>4191</v>
      </c>
      <c r="B1739" t="s">
        <v>4192</v>
      </c>
      <c r="C1739" t="s">
        <v>4193</v>
      </c>
      <c r="D1739" t="s">
        <v>53</v>
      </c>
      <c r="E1739" t="s">
        <v>54</v>
      </c>
      <c r="F1739" t="s">
        <v>109</v>
      </c>
      <c r="G1739">
        <v>2</v>
      </c>
      <c r="H1739">
        <v>18782.24</v>
      </c>
      <c r="I1739">
        <v>0.1</v>
      </c>
      <c r="J1739">
        <v>33808.03</v>
      </c>
      <c r="K1739">
        <v>3163.95</v>
      </c>
      <c r="L1739">
        <v>1.7</v>
      </c>
      <c r="M1739" s="53">
        <v>45497</v>
      </c>
      <c r="N1739" t="s">
        <v>22</v>
      </c>
      <c r="O1739" t="s">
        <v>73</v>
      </c>
      <c r="P1739" s="54">
        <v>0.0935857546269333</v>
      </c>
    </row>
    <row r="1740" spans="1:16">
      <c r="A1740" t="s">
        <v>4194</v>
      </c>
      <c r="B1740" t="s">
        <v>2446</v>
      </c>
      <c r="C1740" t="s">
        <v>799</v>
      </c>
      <c r="D1740" t="s">
        <v>40</v>
      </c>
      <c r="E1740" t="s">
        <v>262</v>
      </c>
      <c r="F1740" t="s">
        <v>773</v>
      </c>
      <c r="G1740">
        <v>2</v>
      </c>
      <c r="H1740">
        <v>8084.47</v>
      </c>
      <c r="I1740">
        <v>0.05</v>
      </c>
      <c r="J1740">
        <v>15360.49</v>
      </c>
      <c r="K1740">
        <v>995.17</v>
      </c>
      <c r="L1740">
        <v>3.1</v>
      </c>
      <c r="M1740" s="53">
        <v>45226</v>
      </c>
      <c r="N1740" t="s">
        <v>30</v>
      </c>
      <c r="O1740" t="s">
        <v>44</v>
      </c>
      <c r="P1740" s="54">
        <v>0.0647876467482483</v>
      </c>
    </row>
    <row r="1741" spans="1:16">
      <c r="A1741" t="s">
        <v>4195</v>
      </c>
      <c r="B1741" t="s">
        <v>411</v>
      </c>
      <c r="C1741" t="s">
        <v>4196</v>
      </c>
      <c r="D1741" t="s">
        <v>19</v>
      </c>
      <c r="E1741" t="s">
        <v>129</v>
      </c>
      <c r="F1741" t="s">
        <v>130</v>
      </c>
      <c r="G1741">
        <v>1</v>
      </c>
      <c r="H1741">
        <v>2894.96</v>
      </c>
      <c r="I1741">
        <v>0</v>
      </c>
      <c r="J1741">
        <v>2894.96</v>
      </c>
      <c r="K1741">
        <v>145.98</v>
      </c>
      <c r="L1741">
        <v>4.1</v>
      </c>
      <c r="M1741" s="53">
        <v>45571</v>
      </c>
      <c r="N1741" t="s">
        <v>30</v>
      </c>
      <c r="O1741" t="s">
        <v>31</v>
      </c>
      <c r="P1741" s="54">
        <v>0.0504255671926382</v>
      </c>
    </row>
    <row r="1742" spans="1:16">
      <c r="A1742" t="s">
        <v>4197</v>
      </c>
      <c r="B1742" t="s">
        <v>4040</v>
      </c>
      <c r="C1742" t="s">
        <v>1695</v>
      </c>
      <c r="D1742" t="s">
        <v>40</v>
      </c>
      <c r="E1742" t="s">
        <v>174</v>
      </c>
      <c r="F1742" t="s">
        <v>199</v>
      </c>
      <c r="G1742">
        <v>2</v>
      </c>
      <c r="H1742">
        <v>11078.57</v>
      </c>
      <c r="I1742">
        <v>0.05</v>
      </c>
      <c r="J1742">
        <v>21049.28</v>
      </c>
      <c r="K1742">
        <v>2438.05</v>
      </c>
      <c r="L1742">
        <v>5</v>
      </c>
      <c r="M1742" s="53">
        <v>45291</v>
      </c>
      <c r="N1742" t="s">
        <v>22</v>
      </c>
      <c r="O1742" t="s">
        <v>23</v>
      </c>
      <c r="P1742" s="54">
        <v>0.115825814469664</v>
      </c>
    </row>
    <row r="1743" spans="1:16">
      <c r="A1743" t="s">
        <v>4198</v>
      </c>
      <c r="B1743" t="s">
        <v>1335</v>
      </c>
      <c r="C1743" t="s">
        <v>1860</v>
      </c>
      <c r="D1743" t="s">
        <v>40</v>
      </c>
      <c r="E1743" t="s">
        <v>174</v>
      </c>
      <c r="F1743" t="s">
        <v>313</v>
      </c>
      <c r="G1743">
        <v>1</v>
      </c>
      <c r="H1743">
        <v>17150.56</v>
      </c>
      <c r="I1743">
        <v>0.2</v>
      </c>
      <c r="J1743">
        <v>13720.45</v>
      </c>
      <c r="K1743">
        <v>2492.77</v>
      </c>
      <c r="L1743">
        <v>2.3</v>
      </c>
      <c r="M1743" s="53">
        <v>45360</v>
      </c>
      <c r="N1743" t="s">
        <v>30</v>
      </c>
      <c r="O1743" t="s">
        <v>31</v>
      </c>
      <c r="P1743" s="54">
        <v>0.181682816525697</v>
      </c>
    </row>
    <row r="1744" spans="1:16">
      <c r="A1744" t="s">
        <v>4199</v>
      </c>
      <c r="B1744" t="s">
        <v>2280</v>
      </c>
      <c r="C1744" t="s">
        <v>4200</v>
      </c>
      <c r="D1744" t="s">
        <v>27</v>
      </c>
      <c r="E1744" t="s">
        <v>233</v>
      </c>
      <c r="F1744" t="s">
        <v>234</v>
      </c>
      <c r="G1744">
        <v>5</v>
      </c>
      <c r="H1744">
        <v>913.61</v>
      </c>
      <c r="I1744">
        <v>0</v>
      </c>
      <c r="J1744">
        <v>4568.05</v>
      </c>
      <c r="K1744">
        <v>986.28</v>
      </c>
      <c r="L1744">
        <v>2.5</v>
      </c>
      <c r="M1744" s="53">
        <v>45287</v>
      </c>
      <c r="N1744" t="s">
        <v>30</v>
      </c>
      <c r="O1744" t="s">
        <v>31</v>
      </c>
      <c r="P1744" s="54">
        <v>0.21590831974256</v>
      </c>
    </row>
    <row r="1745" spans="1:16">
      <c r="A1745" t="s">
        <v>4201</v>
      </c>
      <c r="B1745" t="s">
        <v>17</v>
      </c>
      <c r="C1745" t="s">
        <v>4202</v>
      </c>
      <c r="D1745" t="s">
        <v>53</v>
      </c>
      <c r="E1745" t="s">
        <v>100</v>
      </c>
      <c r="F1745" t="s">
        <v>229</v>
      </c>
      <c r="G1745">
        <v>2</v>
      </c>
      <c r="H1745">
        <v>4116.52</v>
      </c>
      <c r="I1745">
        <v>0.1</v>
      </c>
      <c r="J1745">
        <v>7409.74</v>
      </c>
      <c r="K1745">
        <v>1276.2</v>
      </c>
      <c r="L1745">
        <v>4.4</v>
      </c>
      <c r="M1745" s="53">
        <v>45614</v>
      </c>
      <c r="N1745" t="s">
        <v>56</v>
      </c>
      <c r="O1745" t="s">
        <v>31</v>
      </c>
      <c r="P1745" s="54">
        <v>0.172232763902647</v>
      </c>
    </row>
    <row r="1746" spans="1:16">
      <c r="A1746" t="s">
        <v>4203</v>
      </c>
      <c r="B1746" t="s">
        <v>3423</v>
      </c>
      <c r="C1746" t="s">
        <v>4204</v>
      </c>
      <c r="D1746" t="s">
        <v>40</v>
      </c>
      <c r="E1746" t="s">
        <v>41</v>
      </c>
      <c r="F1746" t="s">
        <v>154</v>
      </c>
      <c r="G1746">
        <v>2</v>
      </c>
      <c r="H1746">
        <v>10899.56</v>
      </c>
      <c r="I1746">
        <v>0.05</v>
      </c>
      <c r="J1746">
        <v>20709.16</v>
      </c>
      <c r="K1746">
        <v>2891.2</v>
      </c>
      <c r="L1746">
        <v>3.8</v>
      </c>
      <c r="M1746" s="53">
        <v>45261</v>
      </c>
      <c r="N1746" t="s">
        <v>43</v>
      </c>
      <c r="O1746" t="s">
        <v>73</v>
      </c>
      <c r="P1746" s="54">
        <v>0.139609718597954</v>
      </c>
    </row>
    <row r="1747" spans="1:16">
      <c r="A1747" t="s">
        <v>4205</v>
      </c>
      <c r="B1747" t="s">
        <v>4206</v>
      </c>
      <c r="C1747" t="s">
        <v>4207</v>
      </c>
      <c r="D1747" t="s">
        <v>40</v>
      </c>
      <c r="E1747" t="s">
        <v>174</v>
      </c>
      <c r="F1747" t="s">
        <v>199</v>
      </c>
      <c r="G1747">
        <v>2</v>
      </c>
      <c r="H1747">
        <v>3850.78</v>
      </c>
      <c r="I1747">
        <v>0.2</v>
      </c>
      <c r="J1747">
        <v>6161.25</v>
      </c>
      <c r="K1747">
        <v>543.83</v>
      </c>
      <c r="L1747">
        <v>4.8</v>
      </c>
      <c r="M1747" s="53">
        <v>45108</v>
      </c>
      <c r="N1747" t="s">
        <v>30</v>
      </c>
      <c r="O1747" t="s">
        <v>23</v>
      </c>
      <c r="P1747" s="54">
        <v>0.0882661797524853</v>
      </c>
    </row>
    <row r="1748" spans="1:16">
      <c r="A1748" t="s">
        <v>4208</v>
      </c>
      <c r="B1748" t="s">
        <v>1713</v>
      </c>
      <c r="C1748" t="s">
        <v>4209</v>
      </c>
      <c r="D1748" t="s">
        <v>40</v>
      </c>
      <c r="E1748" t="s">
        <v>81</v>
      </c>
      <c r="F1748" t="s">
        <v>82</v>
      </c>
      <c r="G1748">
        <v>3</v>
      </c>
      <c r="H1748">
        <v>7349.76</v>
      </c>
      <c r="I1748">
        <v>0.15</v>
      </c>
      <c r="J1748">
        <v>18741.89</v>
      </c>
      <c r="K1748">
        <v>1560.82</v>
      </c>
      <c r="L1748">
        <v>1.6</v>
      </c>
      <c r="M1748" s="53">
        <v>45065</v>
      </c>
      <c r="N1748" t="s">
        <v>22</v>
      </c>
      <c r="O1748" t="s">
        <v>23</v>
      </c>
      <c r="P1748" s="54">
        <v>0.083279754603191</v>
      </c>
    </row>
    <row r="1749" spans="1:16">
      <c r="A1749" t="s">
        <v>4210</v>
      </c>
      <c r="B1749" t="s">
        <v>2239</v>
      </c>
      <c r="C1749" t="s">
        <v>4211</v>
      </c>
      <c r="D1749" t="s">
        <v>53</v>
      </c>
      <c r="E1749" t="s">
        <v>95</v>
      </c>
      <c r="F1749" t="s">
        <v>306</v>
      </c>
      <c r="G1749">
        <v>2</v>
      </c>
      <c r="H1749">
        <v>4477.88</v>
      </c>
      <c r="I1749">
        <v>0.15</v>
      </c>
      <c r="J1749">
        <v>7612.4</v>
      </c>
      <c r="K1749">
        <v>900.9</v>
      </c>
      <c r="L1749">
        <v>3.2</v>
      </c>
      <c r="M1749" s="53">
        <v>44945</v>
      </c>
      <c r="N1749" t="s">
        <v>30</v>
      </c>
      <c r="O1749" t="s">
        <v>44</v>
      </c>
      <c r="P1749" s="54">
        <v>0.118346382218486</v>
      </c>
    </row>
    <row r="1750" spans="1:16">
      <c r="A1750" t="s">
        <v>4212</v>
      </c>
      <c r="B1750" t="s">
        <v>1405</v>
      </c>
      <c r="C1750" t="s">
        <v>1025</v>
      </c>
      <c r="D1750" t="s">
        <v>27</v>
      </c>
      <c r="E1750" t="s">
        <v>28</v>
      </c>
      <c r="F1750" t="s">
        <v>192</v>
      </c>
      <c r="G1750">
        <v>5</v>
      </c>
      <c r="H1750">
        <v>8154.68</v>
      </c>
      <c r="I1750">
        <v>0.05</v>
      </c>
      <c r="J1750">
        <v>38734.73</v>
      </c>
      <c r="K1750">
        <v>8341.4</v>
      </c>
      <c r="L1750">
        <v>3.7</v>
      </c>
      <c r="M1750" s="53">
        <v>45334</v>
      </c>
      <c r="N1750" t="s">
        <v>56</v>
      </c>
      <c r="O1750" t="s">
        <v>57</v>
      </c>
      <c r="P1750" s="54">
        <v>0.215346796014842</v>
      </c>
    </row>
    <row r="1751" spans="1:16">
      <c r="A1751" t="s">
        <v>4213</v>
      </c>
      <c r="B1751" t="s">
        <v>1044</v>
      </c>
      <c r="C1751" t="s">
        <v>4214</v>
      </c>
      <c r="D1751" t="s">
        <v>27</v>
      </c>
      <c r="E1751" t="s">
        <v>28</v>
      </c>
      <c r="F1751" t="s">
        <v>29</v>
      </c>
      <c r="G1751">
        <v>3</v>
      </c>
      <c r="H1751">
        <v>967.19</v>
      </c>
      <c r="I1751">
        <v>0</v>
      </c>
      <c r="J1751">
        <v>2901.57</v>
      </c>
      <c r="K1751">
        <v>477.05</v>
      </c>
      <c r="L1751">
        <v>2</v>
      </c>
      <c r="M1751" s="53">
        <v>45222</v>
      </c>
      <c r="N1751" t="s">
        <v>56</v>
      </c>
      <c r="O1751" t="s">
        <v>31</v>
      </c>
      <c r="P1751" s="54">
        <v>0.164410991290922</v>
      </c>
    </row>
    <row r="1752" spans="1:16">
      <c r="A1752" t="s">
        <v>4215</v>
      </c>
      <c r="B1752" t="s">
        <v>1405</v>
      </c>
      <c r="C1752" t="s">
        <v>2993</v>
      </c>
      <c r="D1752" t="s">
        <v>19</v>
      </c>
      <c r="E1752" t="s">
        <v>129</v>
      </c>
      <c r="F1752" t="s">
        <v>320</v>
      </c>
      <c r="G1752">
        <v>2</v>
      </c>
      <c r="H1752">
        <v>4275.51</v>
      </c>
      <c r="I1752">
        <v>0.2</v>
      </c>
      <c r="J1752">
        <v>6840.82</v>
      </c>
      <c r="K1752">
        <v>640.71</v>
      </c>
      <c r="L1752">
        <v>2.7</v>
      </c>
      <c r="M1752" s="53">
        <v>45623</v>
      </c>
      <c r="N1752" t="s">
        <v>43</v>
      </c>
      <c r="O1752" t="s">
        <v>57</v>
      </c>
      <c r="P1752" s="54">
        <v>0.0936598244070155</v>
      </c>
    </row>
    <row r="1753" spans="1:16">
      <c r="A1753" t="s">
        <v>4216</v>
      </c>
      <c r="B1753" t="s">
        <v>136</v>
      </c>
      <c r="C1753" t="s">
        <v>326</v>
      </c>
      <c r="D1753" t="s">
        <v>40</v>
      </c>
      <c r="E1753" t="s">
        <v>174</v>
      </c>
      <c r="F1753" t="s">
        <v>313</v>
      </c>
      <c r="G1753">
        <v>2</v>
      </c>
      <c r="H1753">
        <v>12361.09</v>
      </c>
      <c r="I1753">
        <v>0.2</v>
      </c>
      <c r="J1753">
        <v>19777.74</v>
      </c>
      <c r="K1753">
        <v>1140.11</v>
      </c>
      <c r="L1753">
        <v>2.9</v>
      </c>
      <c r="M1753" s="53">
        <v>45494</v>
      </c>
      <c r="N1753" t="s">
        <v>22</v>
      </c>
      <c r="O1753" t="s">
        <v>57</v>
      </c>
      <c r="P1753" s="54">
        <v>0.0576461213465239</v>
      </c>
    </row>
    <row r="1754" spans="1:16">
      <c r="A1754" t="s">
        <v>4217</v>
      </c>
      <c r="B1754" t="s">
        <v>1035</v>
      </c>
      <c r="C1754" t="s">
        <v>4218</v>
      </c>
      <c r="D1754" t="s">
        <v>53</v>
      </c>
      <c r="E1754" t="s">
        <v>71</v>
      </c>
      <c r="F1754" t="s">
        <v>225</v>
      </c>
      <c r="G1754">
        <v>1</v>
      </c>
      <c r="H1754">
        <v>7982.94</v>
      </c>
      <c r="I1754">
        <v>0.15</v>
      </c>
      <c r="J1754">
        <v>6785.5</v>
      </c>
      <c r="K1754">
        <v>822.36</v>
      </c>
      <c r="L1754">
        <v>3.7</v>
      </c>
      <c r="M1754" s="53">
        <v>45278</v>
      </c>
      <c r="N1754" t="s">
        <v>43</v>
      </c>
      <c r="O1754" t="s">
        <v>73</v>
      </c>
      <c r="P1754" s="54">
        <v>0.121193721907008</v>
      </c>
    </row>
    <row r="1755" spans="1:16">
      <c r="A1755" t="s">
        <v>4219</v>
      </c>
      <c r="B1755" t="s">
        <v>4220</v>
      </c>
      <c r="C1755" t="s">
        <v>2708</v>
      </c>
      <c r="D1755" t="s">
        <v>19</v>
      </c>
      <c r="E1755" t="s">
        <v>35</v>
      </c>
      <c r="F1755" t="s">
        <v>121</v>
      </c>
      <c r="G1755">
        <v>3</v>
      </c>
      <c r="H1755">
        <v>15682.31</v>
      </c>
      <c r="I1755">
        <v>0.15</v>
      </c>
      <c r="J1755">
        <v>39989.89</v>
      </c>
      <c r="K1755">
        <v>2097.7</v>
      </c>
      <c r="L1755">
        <v>1.7</v>
      </c>
      <c r="M1755" s="53">
        <v>45246</v>
      </c>
      <c r="N1755" t="s">
        <v>22</v>
      </c>
      <c r="O1755" t="s">
        <v>44</v>
      </c>
      <c r="P1755" s="54">
        <v>0.0524557581928832</v>
      </c>
    </row>
    <row r="1756" spans="1:16">
      <c r="A1756" t="s">
        <v>4221</v>
      </c>
      <c r="B1756" t="s">
        <v>294</v>
      </c>
      <c r="C1756" t="s">
        <v>4222</v>
      </c>
      <c r="D1756" t="s">
        <v>40</v>
      </c>
      <c r="E1756" t="s">
        <v>81</v>
      </c>
      <c r="F1756" t="s">
        <v>358</v>
      </c>
      <c r="G1756">
        <v>4</v>
      </c>
      <c r="H1756">
        <v>8814.55</v>
      </c>
      <c r="I1756">
        <v>0.15</v>
      </c>
      <c r="J1756">
        <v>29969.47</v>
      </c>
      <c r="K1756">
        <v>1545.82</v>
      </c>
      <c r="L1756">
        <v>1.5</v>
      </c>
      <c r="M1756" s="53">
        <v>45422</v>
      </c>
      <c r="N1756" t="s">
        <v>30</v>
      </c>
      <c r="O1756" t="s">
        <v>44</v>
      </c>
      <c r="P1756" s="54">
        <v>0.0515798244012991</v>
      </c>
    </row>
    <row r="1757" spans="1:16">
      <c r="A1757" t="s">
        <v>4223</v>
      </c>
      <c r="B1757" t="s">
        <v>627</v>
      </c>
      <c r="C1757" t="s">
        <v>4224</v>
      </c>
      <c r="D1757" t="s">
        <v>19</v>
      </c>
      <c r="E1757" t="s">
        <v>35</v>
      </c>
      <c r="F1757" t="s">
        <v>245</v>
      </c>
      <c r="G1757">
        <v>5</v>
      </c>
      <c r="H1757">
        <v>8285.85</v>
      </c>
      <c r="I1757">
        <v>0.15</v>
      </c>
      <c r="J1757">
        <v>35214.86</v>
      </c>
      <c r="K1757">
        <v>5304.59</v>
      </c>
      <c r="L1757">
        <v>3.2</v>
      </c>
      <c r="M1757" s="53">
        <v>45428</v>
      </c>
      <c r="N1757" t="s">
        <v>22</v>
      </c>
      <c r="O1757" t="s">
        <v>44</v>
      </c>
      <c r="P1757" s="54">
        <v>0.150634987616023</v>
      </c>
    </row>
    <row r="1758" spans="1:16">
      <c r="A1758" t="s">
        <v>4225</v>
      </c>
      <c r="B1758" t="s">
        <v>4226</v>
      </c>
      <c r="C1758" t="s">
        <v>4227</v>
      </c>
      <c r="D1758" t="s">
        <v>27</v>
      </c>
      <c r="E1758" t="s">
        <v>233</v>
      </c>
      <c r="F1758" t="s">
        <v>606</v>
      </c>
      <c r="G1758">
        <v>3</v>
      </c>
      <c r="H1758">
        <v>16285.35</v>
      </c>
      <c r="I1758">
        <v>0.15</v>
      </c>
      <c r="J1758">
        <v>41527.64</v>
      </c>
      <c r="K1758">
        <v>9785.56</v>
      </c>
      <c r="L1758">
        <v>2.3</v>
      </c>
      <c r="M1758" s="53">
        <v>45107</v>
      </c>
      <c r="N1758" t="s">
        <v>30</v>
      </c>
      <c r="O1758" t="s">
        <v>73</v>
      </c>
      <c r="P1758" s="54">
        <v>0.235639684797884</v>
      </c>
    </row>
    <row r="1759" spans="1:16">
      <c r="A1759" t="s">
        <v>4228</v>
      </c>
      <c r="B1759" t="s">
        <v>328</v>
      </c>
      <c r="C1759" t="s">
        <v>4229</v>
      </c>
      <c r="D1759" t="s">
        <v>53</v>
      </c>
      <c r="E1759" t="s">
        <v>95</v>
      </c>
      <c r="F1759" t="s">
        <v>271</v>
      </c>
      <c r="G1759">
        <v>1</v>
      </c>
      <c r="H1759">
        <v>11884.26</v>
      </c>
      <c r="I1759">
        <v>0.05</v>
      </c>
      <c r="J1759">
        <v>11290.05</v>
      </c>
      <c r="K1759">
        <v>2291</v>
      </c>
      <c r="L1759">
        <v>2.4</v>
      </c>
      <c r="M1759" s="53">
        <v>45590</v>
      </c>
      <c r="N1759" t="s">
        <v>56</v>
      </c>
      <c r="O1759" t="s">
        <v>73</v>
      </c>
      <c r="P1759" s="54">
        <v>0.202922041975013</v>
      </c>
    </row>
    <row r="1760" spans="1:16">
      <c r="A1760" t="s">
        <v>4230</v>
      </c>
      <c r="B1760" t="s">
        <v>1468</v>
      </c>
      <c r="C1760" t="s">
        <v>4231</v>
      </c>
      <c r="D1760" t="s">
        <v>27</v>
      </c>
      <c r="E1760" t="s">
        <v>28</v>
      </c>
      <c r="F1760" t="s">
        <v>29</v>
      </c>
      <c r="G1760">
        <v>5</v>
      </c>
      <c r="H1760">
        <v>5378.87</v>
      </c>
      <c r="I1760">
        <v>0.15</v>
      </c>
      <c r="J1760">
        <v>22860.2</v>
      </c>
      <c r="K1760">
        <v>3949.23</v>
      </c>
      <c r="L1760">
        <v>2.1</v>
      </c>
      <c r="M1760" s="53">
        <v>45328</v>
      </c>
      <c r="N1760" t="s">
        <v>56</v>
      </c>
      <c r="O1760" t="s">
        <v>73</v>
      </c>
      <c r="P1760" s="54">
        <v>0.172755706424266</v>
      </c>
    </row>
    <row r="1761" spans="1:16">
      <c r="A1761" t="s">
        <v>4232</v>
      </c>
      <c r="B1761" t="s">
        <v>4004</v>
      </c>
      <c r="C1761" t="s">
        <v>4126</v>
      </c>
      <c r="D1761" t="s">
        <v>53</v>
      </c>
      <c r="E1761" t="s">
        <v>95</v>
      </c>
      <c r="F1761" t="s">
        <v>524</v>
      </c>
      <c r="G1761">
        <v>4</v>
      </c>
      <c r="H1761">
        <v>13308.37</v>
      </c>
      <c r="I1761">
        <v>0.15</v>
      </c>
      <c r="J1761">
        <v>45248.46</v>
      </c>
      <c r="K1761">
        <v>3450.72</v>
      </c>
      <c r="L1761">
        <v>3.8</v>
      </c>
      <c r="M1761" s="53">
        <v>45156</v>
      </c>
      <c r="N1761" t="s">
        <v>22</v>
      </c>
      <c r="O1761" t="s">
        <v>57</v>
      </c>
      <c r="P1761" s="54">
        <v>0.076261600947303</v>
      </c>
    </row>
    <row r="1762" spans="1:16">
      <c r="A1762" t="s">
        <v>4233</v>
      </c>
      <c r="B1762" t="s">
        <v>2400</v>
      </c>
      <c r="C1762" t="s">
        <v>4234</v>
      </c>
      <c r="D1762" t="s">
        <v>53</v>
      </c>
      <c r="E1762" t="s">
        <v>54</v>
      </c>
      <c r="F1762" t="s">
        <v>55</v>
      </c>
      <c r="G1762">
        <v>2</v>
      </c>
      <c r="H1762">
        <v>19168.65</v>
      </c>
      <c r="I1762">
        <v>0.05</v>
      </c>
      <c r="J1762">
        <v>36420.43</v>
      </c>
      <c r="K1762">
        <v>5895.06</v>
      </c>
      <c r="L1762">
        <v>4</v>
      </c>
      <c r="M1762" s="53">
        <v>45577</v>
      </c>
      <c r="N1762" t="s">
        <v>43</v>
      </c>
      <c r="O1762" t="s">
        <v>31</v>
      </c>
      <c r="P1762" s="54">
        <v>0.161861350895637</v>
      </c>
    </row>
    <row r="1763" spans="1:16">
      <c r="A1763" t="s">
        <v>4235</v>
      </c>
      <c r="B1763" t="s">
        <v>1341</v>
      </c>
      <c r="C1763" t="s">
        <v>4236</v>
      </c>
      <c r="D1763" t="s">
        <v>19</v>
      </c>
      <c r="E1763" t="s">
        <v>86</v>
      </c>
      <c r="F1763" t="s">
        <v>87</v>
      </c>
      <c r="G1763">
        <v>1</v>
      </c>
      <c r="H1763">
        <v>5711.75</v>
      </c>
      <c r="I1763">
        <v>0</v>
      </c>
      <c r="J1763">
        <v>5711.75</v>
      </c>
      <c r="K1763">
        <v>665.87</v>
      </c>
      <c r="L1763">
        <v>2.9</v>
      </c>
      <c r="M1763" s="53">
        <v>45420</v>
      </c>
      <c r="N1763" t="s">
        <v>22</v>
      </c>
      <c r="O1763" t="s">
        <v>57</v>
      </c>
      <c r="P1763" s="54">
        <v>0.116578981923228</v>
      </c>
    </row>
    <row r="1764" spans="1:16">
      <c r="A1764" t="s">
        <v>4237</v>
      </c>
      <c r="B1764" t="s">
        <v>2069</v>
      </c>
      <c r="C1764" t="s">
        <v>4238</v>
      </c>
      <c r="D1764" t="s">
        <v>40</v>
      </c>
      <c r="E1764" t="s">
        <v>41</v>
      </c>
      <c r="F1764" t="s">
        <v>42</v>
      </c>
      <c r="G1764">
        <v>4</v>
      </c>
      <c r="H1764">
        <v>18317.96</v>
      </c>
      <c r="I1764">
        <v>0.2</v>
      </c>
      <c r="J1764">
        <v>58617.47</v>
      </c>
      <c r="K1764">
        <v>3796.6</v>
      </c>
      <c r="L1764">
        <v>2.5</v>
      </c>
      <c r="M1764" s="53">
        <v>44969</v>
      </c>
      <c r="N1764" t="s">
        <v>22</v>
      </c>
      <c r="O1764" t="s">
        <v>57</v>
      </c>
      <c r="P1764" s="54">
        <v>0.0647690867586063</v>
      </c>
    </row>
    <row r="1765" spans="1:16">
      <c r="A1765" t="s">
        <v>4239</v>
      </c>
      <c r="B1765" t="s">
        <v>1836</v>
      </c>
      <c r="C1765" t="s">
        <v>4240</v>
      </c>
      <c r="D1765" t="s">
        <v>40</v>
      </c>
      <c r="E1765" t="s">
        <v>174</v>
      </c>
      <c r="F1765" t="s">
        <v>202</v>
      </c>
      <c r="G1765">
        <v>3</v>
      </c>
      <c r="H1765">
        <v>3828.18</v>
      </c>
      <c r="I1765">
        <v>0.05</v>
      </c>
      <c r="J1765">
        <v>10910.31</v>
      </c>
      <c r="K1765">
        <v>2011.18</v>
      </c>
      <c r="L1765">
        <v>4.7</v>
      </c>
      <c r="M1765" s="53">
        <v>45241</v>
      </c>
      <c r="N1765" t="s">
        <v>43</v>
      </c>
      <c r="O1765" t="s">
        <v>57</v>
      </c>
      <c r="P1765" s="54">
        <v>0.184337566943561</v>
      </c>
    </row>
    <row r="1766" spans="1:16">
      <c r="A1766" t="s">
        <v>4241</v>
      </c>
      <c r="B1766" t="s">
        <v>3380</v>
      </c>
      <c r="C1766" t="s">
        <v>4242</v>
      </c>
      <c r="D1766" t="s">
        <v>27</v>
      </c>
      <c r="E1766" t="s">
        <v>28</v>
      </c>
      <c r="F1766" t="s">
        <v>192</v>
      </c>
      <c r="G1766">
        <v>1</v>
      </c>
      <c r="H1766">
        <v>2827.92</v>
      </c>
      <c r="I1766">
        <v>0</v>
      </c>
      <c r="J1766">
        <v>2827.92</v>
      </c>
      <c r="K1766">
        <v>541.74</v>
      </c>
      <c r="L1766">
        <v>1.5</v>
      </c>
      <c r="M1766" s="53">
        <v>45609</v>
      </c>
      <c r="N1766" t="s">
        <v>30</v>
      </c>
      <c r="O1766" t="s">
        <v>44</v>
      </c>
      <c r="P1766" s="54">
        <v>0.191568361198337</v>
      </c>
    </row>
    <row r="1767" spans="1:16">
      <c r="A1767" t="s">
        <v>4243</v>
      </c>
      <c r="B1767" t="s">
        <v>184</v>
      </c>
      <c r="C1767" t="s">
        <v>4244</v>
      </c>
      <c r="D1767" t="s">
        <v>19</v>
      </c>
      <c r="E1767" t="s">
        <v>20</v>
      </c>
      <c r="F1767" t="s">
        <v>21</v>
      </c>
      <c r="G1767">
        <v>3</v>
      </c>
      <c r="H1767">
        <v>9590.67</v>
      </c>
      <c r="I1767">
        <v>0</v>
      </c>
      <c r="J1767">
        <v>28772.01</v>
      </c>
      <c r="K1767">
        <v>1806.99</v>
      </c>
      <c r="L1767">
        <v>4.9</v>
      </c>
      <c r="M1767" s="53">
        <v>45554</v>
      </c>
      <c r="N1767" t="s">
        <v>30</v>
      </c>
      <c r="O1767" t="s">
        <v>73</v>
      </c>
      <c r="P1767" s="54">
        <v>0.0628037457237086</v>
      </c>
    </row>
    <row r="1768" spans="1:16">
      <c r="A1768" t="s">
        <v>4245</v>
      </c>
      <c r="B1768" t="s">
        <v>2292</v>
      </c>
      <c r="C1768" t="s">
        <v>4246</v>
      </c>
      <c r="D1768" t="s">
        <v>53</v>
      </c>
      <c r="E1768" t="s">
        <v>95</v>
      </c>
      <c r="F1768" t="s">
        <v>271</v>
      </c>
      <c r="G1768">
        <v>1</v>
      </c>
      <c r="H1768">
        <v>8027.35</v>
      </c>
      <c r="I1768">
        <v>0.15</v>
      </c>
      <c r="J1768">
        <v>6823.25</v>
      </c>
      <c r="K1768">
        <v>1031.05</v>
      </c>
      <c r="L1768">
        <v>1.6</v>
      </c>
      <c r="M1768" s="53">
        <v>45025</v>
      </c>
      <c r="N1768" t="s">
        <v>43</v>
      </c>
      <c r="O1768" t="s">
        <v>31</v>
      </c>
      <c r="P1768" s="54">
        <v>0.15110834279852</v>
      </c>
    </row>
    <row r="1769" spans="1:16">
      <c r="A1769" t="s">
        <v>4247</v>
      </c>
      <c r="B1769" t="s">
        <v>33</v>
      </c>
      <c r="C1769" t="s">
        <v>4248</v>
      </c>
      <c r="D1769" t="s">
        <v>53</v>
      </c>
      <c r="E1769" t="s">
        <v>71</v>
      </c>
      <c r="F1769" t="s">
        <v>72</v>
      </c>
      <c r="G1769">
        <v>4</v>
      </c>
      <c r="H1769">
        <v>11557.27</v>
      </c>
      <c r="I1769">
        <v>0.05</v>
      </c>
      <c r="J1769">
        <v>43917.63</v>
      </c>
      <c r="K1769">
        <v>6930.91</v>
      </c>
      <c r="L1769">
        <v>1.5</v>
      </c>
      <c r="M1769" s="53">
        <v>45301</v>
      </c>
      <c r="N1769" t="s">
        <v>30</v>
      </c>
      <c r="O1769" t="s">
        <v>57</v>
      </c>
      <c r="P1769" s="54">
        <v>0.157816120769723</v>
      </c>
    </row>
    <row r="1770" spans="1:16">
      <c r="A1770" t="s">
        <v>4249</v>
      </c>
      <c r="B1770" t="s">
        <v>273</v>
      </c>
      <c r="C1770" t="s">
        <v>4250</v>
      </c>
      <c r="D1770" t="s">
        <v>19</v>
      </c>
      <c r="E1770" t="s">
        <v>35</v>
      </c>
      <c r="F1770" t="s">
        <v>121</v>
      </c>
      <c r="G1770">
        <v>5</v>
      </c>
      <c r="H1770">
        <v>13118.39</v>
      </c>
      <c r="I1770">
        <v>0</v>
      </c>
      <c r="J1770">
        <v>65591.95</v>
      </c>
      <c r="K1770">
        <v>8654.07</v>
      </c>
      <c r="L1770">
        <v>2.9</v>
      </c>
      <c r="M1770" s="53">
        <v>44935</v>
      </c>
      <c r="N1770" t="s">
        <v>43</v>
      </c>
      <c r="O1770" t="s">
        <v>44</v>
      </c>
      <c r="P1770" s="54">
        <v>0.13193798934168</v>
      </c>
    </row>
    <row r="1771" spans="1:16">
      <c r="A1771" t="s">
        <v>4251</v>
      </c>
      <c r="B1771" t="s">
        <v>2280</v>
      </c>
      <c r="C1771" t="s">
        <v>4252</v>
      </c>
      <c r="D1771" t="s">
        <v>40</v>
      </c>
      <c r="E1771" t="s">
        <v>41</v>
      </c>
      <c r="F1771" t="s">
        <v>42</v>
      </c>
      <c r="G1771">
        <v>4</v>
      </c>
      <c r="H1771">
        <v>19205.07</v>
      </c>
      <c r="I1771">
        <v>0.1</v>
      </c>
      <c r="J1771">
        <v>69138.25</v>
      </c>
      <c r="K1771">
        <v>12794.92</v>
      </c>
      <c r="L1771">
        <v>3.4</v>
      </c>
      <c r="M1771" s="53">
        <v>45062</v>
      </c>
      <c r="N1771" t="s">
        <v>43</v>
      </c>
      <c r="O1771" t="s">
        <v>73</v>
      </c>
      <c r="P1771" s="54">
        <v>0.185062827016883</v>
      </c>
    </row>
    <row r="1772" spans="1:16">
      <c r="A1772" t="s">
        <v>4253</v>
      </c>
      <c r="B1772" t="s">
        <v>979</v>
      </c>
      <c r="C1772" t="s">
        <v>4254</v>
      </c>
      <c r="D1772" t="s">
        <v>27</v>
      </c>
      <c r="E1772" t="s">
        <v>233</v>
      </c>
      <c r="F1772" t="s">
        <v>606</v>
      </c>
      <c r="G1772">
        <v>1</v>
      </c>
      <c r="H1772">
        <v>14078.05</v>
      </c>
      <c r="I1772">
        <v>0.2</v>
      </c>
      <c r="J1772">
        <v>11262.44</v>
      </c>
      <c r="K1772">
        <v>1023.49</v>
      </c>
      <c r="L1772">
        <v>4.5</v>
      </c>
      <c r="M1772" s="53">
        <v>45475</v>
      </c>
      <c r="N1772" t="s">
        <v>43</v>
      </c>
      <c r="O1772" t="s">
        <v>31</v>
      </c>
      <c r="P1772" s="54">
        <v>0.0908763997854816</v>
      </c>
    </row>
    <row r="1773" spans="1:16">
      <c r="A1773" t="s">
        <v>4255</v>
      </c>
      <c r="B1773" t="s">
        <v>4147</v>
      </c>
      <c r="C1773" t="s">
        <v>4256</v>
      </c>
      <c r="D1773" t="s">
        <v>40</v>
      </c>
      <c r="E1773" t="s">
        <v>262</v>
      </c>
      <c r="F1773" t="s">
        <v>345</v>
      </c>
      <c r="G1773">
        <v>3</v>
      </c>
      <c r="H1773">
        <v>8473.58</v>
      </c>
      <c r="I1773">
        <v>0.1</v>
      </c>
      <c r="J1773">
        <v>22878.67</v>
      </c>
      <c r="K1773">
        <v>2698.8</v>
      </c>
      <c r="L1773">
        <v>3.8</v>
      </c>
      <c r="M1773" s="53">
        <v>45650</v>
      </c>
      <c r="N1773" t="s">
        <v>30</v>
      </c>
      <c r="O1773" t="s">
        <v>31</v>
      </c>
      <c r="P1773" s="54">
        <v>0.11796140247663</v>
      </c>
    </row>
    <row r="1774" spans="1:16">
      <c r="A1774" t="s">
        <v>4257</v>
      </c>
      <c r="B1774" t="s">
        <v>4258</v>
      </c>
      <c r="C1774" t="s">
        <v>4259</v>
      </c>
      <c r="D1774" t="s">
        <v>53</v>
      </c>
      <c r="E1774" t="s">
        <v>100</v>
      </c>
      <c r="F1774" t="s">
        <v>229</v>
      </c>
      <c r="G1774">
        <v>4</v>
      </c>
      <c r="H1774">
        <v>10973.26</v>
      </c>
      <c r="I1774">
        <v>0.05</v>
      </c>
      <c r="J1774">
        <v>41698.39</v>
      </c>
      <c r="K1774">
        <v>8277.69</v>
      </c>
      <c r="L1774">
        <v>4</v>
      </c>
      <c r="M1774" s="53">
        <v>45333</v>
      </c>
      <c r="N1774" t="s">
        <v>43</v>
      </c>
      <c r="O1774" t="s">
        <v>31</v>
      </c>
      <c r="P1774" s="54">
        <v>0.198513419822684</v>
      </c>
    </row>
    <row r="1775" spans="1:16">
      <c r="A1775" t="s">
        <v>4260</v>
      </c>
      <c r="B1775" t="s">
        <v>2005</v>
      </c>
      <c r="C1775" t="s">
        <v>605</v>
      </c>
      <c r="D1775" t="s">
        <v>53</v>
      </c>
      <c r="E1775" t="s">
        <v>71</v>
      </c>
      <c r="F1775" t="s">
        <v>150</v>
      </c>
      <c r="G1775">
        <v>5</v>
      </c>
      <c r="H1775">
        <v>2764.9</v>
      </c>
      <c r="I1775">
        <v>0.2</v>
      </c>
      <c r="J1775">
        <v>11059.6</v>
      </c>
      <c r="K1775">
        <v>806.28</v>
      </c>
      <c r="L1775">
        <v>4.7</v>
      </c>
      <c r="M1775" s="53">
        <v>45333</v>
      </c>
      <c r="N1775" t="s">
        <v>30</v>
      </c>
      <c r="O1775" t="s">
        <v>44</v>
      </c>
      <c r="P1775" s="54">
        <v>0.072903179138486</v>
      </c>
    </row>
    <row r="1776" spans="1:16">
      <c r="A1776" t="s">
        <v>4261</v>
      </c>
      <c r="B1776" t="s">
        <v>1779</v>
      </c>
      <c r="C1776" t="s">
        <v>4262</v>
      </c>
      <c r="D1776" t="s">
        <v>19</v>
      </c>
      <c r="E1776" t="s">
        <v>129</v>
      </c>
      <c r="F1776" t="s">
        <v>130</v>
      </c>
      <c r="G1776">
        <v>3</v>
      </c>
      <c r="H1776">
        <v>6472.69</v>
      </c>
      <c r="I1776">
        <v>0.2</v>
      </c>
      <c r="J1776">
        <v>15534.46</v>
      </c>
      <c r="K1776">
        <v>1080.1</v>
      </c>
      <c r="L1776">
        <v>3.2</v>
      </c>
      <c r="M1776" s="53">
        <v>45591</v>
      </c>
      <c r="N1776" t="s">
        <v>30</v>
      </c>
      <c r="O1776" t="s">
        <v>44</v>
      </c>
      <c r="P1776" s="54">
        <v>0.0695292916522364</v>
      </c>
    </row>
    <row r="1777" spans="1:16">
      <c r="A1777" t="s">
        <v>4263</v>
      </c>
      <c r="B1777" t="s">
        <v>231</v>
      </c>
      <c r="C1777" t="s">
        <v>3931</v>
      </c>
      <c r="D1777" t="s">
        <v>27</v>
      </c>
      <c r="E1777" t="s">
        <v>233</v>
      </c>
      <c r="F1777" t="s">
        <v>606</v>
      </c>
      <c r="G1777">
        <v>1</v>
      </c>
      <c r="H1777">
        <v>4339.4</v>
      </c>
      <c r="I1777">
        <v>0.1</v>
      </c>
      <c r="J1777">
        <v>3905.46</v>
      </c>
      <c r="K1777">
        <v>427.77</v>
      </c>
      <c r="L1777">
        <v>3.6</v>
      </c>
      <c r="M1777" s="53">
        <v>45035</v>
      </c>
      <c r="N1777" t="s">
        <v>22</v>
      </c>
      <c r="O1777" t="s">
        <v>31</v>
      </c>
      <c r="P1777" s="54">
        <v>0.109531271604369</v>
      </c>
    </row>
    <row r="1778" spans="1:16">
      <c r="A1778" t="s">
        <v>4264</v>
      </c>
      <c r="B1778" t="s">
        <v>2896</v>
      </c>
      <c r="C1778" t="s">
        <v>4265</v>
      </c>
      <c r="D1778" t="s">
        <v>40</v>
      </c>
      <c r="E1778" t="s">
        <v>41</v>
      </c>
      <c r="F1778" t="s">
        <v>125</v>
      </c>
      <c r="G1778">
        <v>5</v>
      </c>
      <c r="H1778">
        <v>1436.46</v>
      </c>
      <c r="I1778">
        <v>0.15</v>
      </c>
      <c r="J1778">
        <v>6104.95</v>
      </c>
      <c r="K1778">
        <v>1227.04</v>
      </c>
      <c r="L1778">
        <v>3.9</v>
      </c>
      <c r="M1778" s="53">
        <v>45237</v>
      </c>
      <c r="N1778" t="s">
        <v>22</v>
      </c>
      <c r="O1778" t="s">
        <v>73</v>
      </c>
      <c r="P1778" s="54">
        <v>0.200990999107282</v>
      </c>
    </row>
    <row r="1779" spans="1:16">
      <c r="A1779" t="s">
        <v>4266</v>
      </c>
      <c r="B1779" t="s">
        <v>1543</v>
      </c>
      <c r="C1779" t="s">
        <v>4267</v>
      </c>
      <c r="D1779" t="s">
        <v>19</v>
      </c>
      <c r="E1779" t="s">
        <v>129</v>
      </c>
      <c r="F1779" t="s">
        <v>130</v>
      </c>
      <c r="G1779">
        <v>2</v>
      </c>
      <c r="H1779">
        <v>13476.22</v>
      </c>
      <c r="I1779">
        <v>0.15</v>
      </c>
      <c r="J1779">
        <v>22909.57</v>
      </c>
      <c r="K1779">
        <v>4668.67</v>
      </c>
      <c r="L1779">
        <v>1.3</v>
      </c>
      <c r="M1779" s="53">
        <v>45369</v>
      </c>
      <c r="N1779" t="s">
        <v>30</v>
      </c>
      <c r="O1779" t="s">
        <v>73</v>
      </c>
      <c r="P1779" s="54">
        <v>0.203786889059899</v>
      </c>
    </row>
    <row r="1780" spans="1:16">
      <c r="A1780" t="s">
        <v>4268</v>
      </c>
      <c r="B1780" t="s">
        <v>2724</v>
      </c>
      <c r="C1780" t="s">
        <v>4269</v>
      </c>
      <c r="D1780" t="s">
        <v>53</v>
      </c>
      <c r="E1780" t="s">
        <v>95</v>
      </c>
      <c r="F1780" t="s">
        <v>306</v>
      </c>
      <c r="G1780">
        <v>1</v>
      </c>
      <c r="H1780">
        <v>11003.27</v>
      </c>
      <c r="I1780">
        <v>0.2</v>
      </c>
      <c r="J1780">
        <v>8802.62</v>
      </c>
      <c r="K1780">
        <v>2008.53</v>
      </c>
      <c r="L1780">
        <v>4.4</v>
      </c>
      <c r="M1780" s="53">
        <v>44977</v>
      </c>
      <c r="N1780" t="s">
        <v>43</v>
      </c>
      <c r="O1780" t="s">
        <v>31</v>
      </c>
      <c r="P1780" s="54">
        <v>0.228174111798533</v>
      </c>
    </row>
    <row r="1781" spans="1:16">
      <c r="A1781" t="s">
        <v>4270</v>
      </c>
      <c r="B1781" t="s">
        <v>4271</v>
      </c>
      <c r="C1781" t="s">
        <v>4272</v>
      </c>
      <c r="D1781" t="s">
        <v>19</v>
      </c>
      <c r="E1781" t="s">
        <v>129</v>
      </c>
      <c r="F1781" t="s">
        <v>302</v>
      </c>
      <c r="G1781">
        <v>3</v>
      </c>
      <c r="H1781">
        <v>2003.23</v>
      </c>
      <c r="I1781">
        <v>0.1</v>
      </c>
      <c r="J1781">
        <v>5408.72</v>
      </c>
      <c r="K1781">
        <v>674.58</v>
      </c>
      <c r="L1781">
        <v>3.2</v>
      </c>
      <c r="M1781" s="53">
        <v>45117</v>
      </c>
      <c r="N1781" t="s">
        <v>43</v>
      </c>
      <c r="O1781" t="s">
        <v>23</v>
      </c>
      <c r="P1781" s="54">
        <v>0.124720821192445</v>
      </c>
    </row>
    <row r="1782" spans="1:16">
      <c r="A1782" t="s">
        <v>4273</v>
      </c>
      <c r="B1782" t="s">
        <v>449</v>
      </c>
      <c r="C1782" t="s">
        <v>4274</v>
      </c>
      <c r="D1782" t="s">
        <v>53</v>
      </c>
      <c r="E1782" t="s">
        <v>71</v>
      </c>
      <c r="F1782" t="s">
        <v>406</v>
      </c>
      <c r="G1782">
        <v>4</v>
      </c>
      <c r="H1782">
        <v>17573.21</v>
      </c>
      <c r="I1782">
        <v>0.1</v>
      </c>
      <c r="J1782">
        <v>63263.56</v>
      </c>
      <c r="K1782">
        <v>5062.96</v>
      </c>
      <c r="L1782">
        <v>4.9</v>
      </c>
      <c r="M1782" s="53">
        <v>45451</v>
      </c>
      <c r="N1782" t="s">
        <v>56</v>
      </c>
      <c r="O1782" t="s">
        <v>23</v>
      </c>
      <c r="P1782" s="54">
        <v>0.0800296410761582</v>
      </c>
    </row>
    <row r="1783" spans="1:16">
      <c r="A1783" t="s">
        <v>4275</v>
      </c>
      <c r="B1783" t="s">
        <v>4276</v>
      </c>
      <c r="C1783" t="s">
        <v>4277</v>
      </c>
      <c r="D1783" t="s">
        <v>40</v>
      </c>
      <c r="E1783" t="s">
        <v>262</v>
      </c>
      <c r="F1783" t="s">
        <v>345</v>
      </c>
      <c r="G1783">
        <v>5</v>
      </c>
      <c r="H1783">
        <v>16164.83</v>
      </c>
      <c r="I1783">
        <v>0.15</v>
      </c>
      <c r="J1783">
        <v>68700.53</v>
      </c>
      <c r="K1783">
        <v>5545.56</v>
      </c>
      <c r="L1783">
        <v>1</v>
      </c>
      <c r="M1783" s="53">
        <v>45621</v>
      </c>
      <c r="N1783" t="s">
        <v>43</v>
      </c>
      <c r="O1783" t="s">
        <v>73</v>
      </c>
      <c r="P1783" s="54">
        <v>0.0807207746432233</v>
      </c>
    </row>
    <row r="1784" spans="1:16">
      <c r="A1784" t="s">
        <v>4278</v>
      </c>
      <c r="B1784" t="s">
        <v>2669</v>
      </c>
      <c r="C1784" t="s">
        <v>4279</v>
      </c>
      <c r="D1784" t="s">
        <v>19</v>
      </c>
      <c r="E1784" t="s">
        <v>86</v>
      </c>
      <c r="F1784" t="s">
        <v>87</v>
      </c>
      <c r="G1784">
        <v>2</v>
      </c>
      <c r="H1784">
        <v>16915.48</v>
      </c>
      <c r="I1784">
        <v>0.15</v>
      </c>
      <c r="J1784">
        <v>28756.32</v>
      </c>
      <c r="K1784">
        <v>4382.69</v>
      </c>
      <c r="L1784">
        <v>4.9</v>
      </c>
      <c r="M1784" s="53">
        <v>45261</v>
      </c>
      <c r="N1784" t="s">
        <v>30</v>
      </c>
      <c r="O1784" t="s">
        <v>44</v>
      </c>
      <c r="P1784" s="54">
        <v>0.152407888074691</v>
      </c>
    </row>
    <row r="1785" spans="1:16">
      <c r="A1785" t="s">
        <v>4280</v>
      </c>
      <c r="B1785" t="s">
        <v>4281</v>
      </c>
      <c r="C1785" t="s">
        <v>4282</v>
      </c>
      <c r="D1785" t="s">
        <v>53</v>
      </c>
      <c r="E1785" t="s">
        <v>54</v>
      </c>
      <c r="F1785" t="s">
        <v>55</v>
      </c>
      <c r="G1785">
        <v>2</v>
      </c>
      <c r="H1785">
        <v>8122.02</v>
      </c>
      <c r="I1785">
        <v>0</v>
      </c>
      <c r="J1785">
        <v>16244.04</v>
      </c>
      <c r="K1785">
        <v>3868.74</v>
      </c>
      <c r="L1785">
        <v>1.9</v>
      </c>
      <c r="M1785" s="53">
        <v>45261</v>
      </c>
      <c r="N1785" t="s">
        <v>22</v>
      </c>
      <c r="O1785" t="s">
        <v>44</v>
      </c>
      <c r="P1785" s="54">
        <v>0.238163658794241</v>
      </c>
    </row>
    <row r="1786" spans="1:16">
      <c r="A1786" t="s">
        <v>4283</v>
      </c>
      <c r="B1786" t="s">
        <v>1278</v>
      </c>
      <c r="C1786" t="s">
        <v>4284</v>
      </c>
      <c r="D1786" t="s">
        <v>19</v>
      </c>
      <c r="E1786" t="s">
        <v>129</v>
      </c>
      <c r="F1786" t="s">
        <v>167</v>
      </c>
      <c r="G1786">
        <v>4</v>
      </c>
      <c r="H1786">
        <v>5739.81</v>
      </c>
      <c r="I1786">
        <v>0.05</v>
      </c>
      <c r="J1786">
        <v>21811.28</v>
      </c>
      <c r="K1786">
        <v>3379.34</v>
      </c>
      <c r="L1786">
        <v>2.9</v>
      </c>
      <c r="M1786" s="53">
        <v>45601</v>
      </c>
      <c r="N1786" t="s">
        <v>22</v>
      </c>
      <c r="O1786" t="s">
        <v>23</v>
      </c>
      <c r="P1786" s="54">
        <v>0.154935427907028</v>
      </c>
    </row>
    <row r="1787" spans="1:16">
      <c r="A1787" t="s">
        <v>4285</v>
      </c>
      <c r="B1787" t="s">
        <v>3839</v>
      </c>
      <c r="C1787" t="s">
        <v>4286</v>
      </c>
      <c r="D1787" t="s">
        <v>40</v>
      </c>
      <c r="E1787" t="s">
        <v>81</v>
      </c>
      <c r="F1787" t="s">
        <v>358</v>
      </c>
      <c r="G1787">
        <v>1</v>
      </c>
      <c r="H1787">
        <v>5467.22</v>
      </c>
      <c r="I1787">
        <v>0.1</v>
      </c>
      <c r="J1787">
        <v>4920.5</v>
      </c>
      <c r="K1787">
        <v>602.44</v>
      </c>
      <c r="L1787">
        <v>2.3</v>
      </c>
      <c r="M1787" s="53">
        <v>45224</v>
      </c>
      <c r="N1787" t="s">
        <v>56</v>
      </c>
      <c r="O1787" t="s">
        <v>23</v>
      </c>
      <c r="P1787" s="54">
        <v>0.12243471191952</v>
      </c>
    </row>
    <row r="1788" spans="1:16">
      <c r="A1788" t="s">
        <v>4287</v>
      </c>
      <c r="B1788" t="s">
        <v>4288</v>
      </c>
      <c r="C1788" t="s">
        <v>4289</v>
      </c>
      <c r="D1788" t="s">
        <v>19</v>
      </c>
      <c r="E1788" t="s">
        <v>35</v>
      </c>
      <c r="F1788" t="s">
        <v>215</v>
      </c>
      <c r="G1788">
        <v>5</v>
      </c>
      <c r="H1788">
        <v>9235.75</v>
      </c>
      <c r="I1788">
        <v>0.1</v>
      </c>
      <c r="J1788">
        <v>41560.88</v>
      </c>
      <c r="K1788">
        <v>9091.23</v>
      </c>
      <c r="L1788">
        <v>1.3</v>
      </c>
      <c r="M1788" s="53">
        <v>44959</v>
      </c>
      <c r="N1788" t="s">
        <v>56</v>
      </c>
      <c r="O1788" t="s">
        <v>57</v>
      </c>
      <c r="P1788" s="54">
        <v>0.218744887018754</v>
      </c>
    </row>
    <row r="1789" spans="1:16">
      <c r="A1789" t="s">
        <v>4290</v>
      </c>
      <c r="B1789" t="s">
        <v>4291</v>
      </c>
      <c r="C1789" t="s">
        <v>4292</v>
      </c>
      <c r="D1789" t="s">
        <v>27</v>
      </c>
      <c r="E1789" t="s">
        <v>233</v>
      </c>
      <c r="F1789" t="s">
        <v>665</v>
      </c>
      <c r="G1789">
        <v>3</v>
      </c>
      <c r="H1789">
        <v>10988.6</v>
      </c>
      <c r="I1789">
        <v>0.2</v>
      </c>
      <c r="J1789">
        <v>26372.64</v>
      </c>
      <c r="K1789">
        <v>4892.68</v>
      </c>
      <c r="L1789">
        <v>1.6</v>
      </c>
      <c r="M1789" s="53">
        <v>45186</v>
      </c>
      <c r="N1789" t="s">
        <v>56</v>
      </c>
      <c r="O1789" t="s">
        <v>31</v>
      </c>
      <c r="P1789" s="54">
        <v>0.185521055154129</v>
      </c>
    </row>
    <row r="1790" spans="1:16">
      <c r="A1790" t="s">
        <v>4293</v>
      </c>
      <c r="B1790" t="s">
        <v>4115</v>
      </c>
      <c r="C1790" t="s">
        <v>4294</v>
      </c>
      <c r="D1790" t="s">
        <v>40</v>
      </c>
      <c r="E1790" t="s">
        <v>174</v>
      </c>
      <c r="F1790" t="s">
        <v>202</v>
      </c>
      <c r="G1790">
        <v>1</v>
      </c>
      <c r="H1790">
        <v>13182.93</v>
      </c>
      <c r="I1790">
        <v>0</v>
      </c>
      <c r="J1790">
        <v>13182.93</v>
      </c>
      <c r="K1790">
        <v>1814.19</v>
      </c>
      <c r="L1790">
        <v>1.4</v>
      </c>
      <c r="M1790" s="53">
        <v>45495</v>
      </c>
      <c r="N1790" t="s">
        <v>56</v>
      </c>
      <c r="O1790" t="s">
        <v>57</v>
      </c>
      <c r="P1790" s="54">
        <v>0.137616599648181</v>
      </c>
    </row>
    <row r="1791" spans="1:16">
      <c r="A1791" t="s">
        <v>4295</v>
      </c>
      <c r="B1791" t="s">
        <v>2002</v>
      </c>
      <c r="C1791" t="s">
        <v>4296</v>
      </c>
      <c r="D1791" t="s">
        <v>40</v>
      </c>
      <c r="E1791" t="s">
        <v>262</v>
      </c>
      <c r="F1791" t="s">
        <v>385</v>
      </c>
      <c r="G1791">
        <v>1</v>
      </c>
      <c r="H1791">
        <v>7761.07</v>
      </c>
      <c r="I1791">
        <v>0.15</v>
      </c>
      <c r="J1791">
        <v>6596.91</v>
      </c>
      <c r="K1791">
        <v>1477.03</v>
      </c>
      <c r="L1791">
        <v>3.5</v>
      </c>
      <c r="M1791" s="53">
        <v>45408</v>
      </c>
      <c r="N1791" t="s">
        <v>56</v>
      </c>
      <c r="O1791" t="s">
        <v>44</v>
      </c>
      <c r="P1791" s="54">
        <v>0.223897248863483</v>
      </c>
    </row>
    <row r="1792" spans="1:16">
      <c r="A1792" t="s">
        <v>4297</v>
      </c>
      <c r="B1792" t="s">
        <v>3566</v>
      </c>
      <c r="C1792" t="s">
        <v>4298</v>
      </c>
      <c r="D1792" t="s">
        <v>53</v>
      </c>
      <c r="E1792" t="s">
        <v>71</v>
      </c>
      <c r="F1792" t="s">
        <v>150</v>
      </c>
      <c r="G1792">
        <v>3</v>
      </c>
      <c r="H1792">
        <v>14579.98</v>
      </c>
      <c r="I1792">
        <v>0.2</v>
      </c>
      <c r="J1792">
        <v>34991.95</v>
      </c>
      <c r="K1792">
        <v>2251.01</v>
      </c>
      <c r="L1792">
        <v>1.5</v>
      </c>
      <c r="M1792" s="53">
        <v>45626</v>
      </c>
      <c r="N1792" t="s">
        <v>22</v>
      </c>
      <c r="O1792" t="s">
        <v>31</v>
      </c>
      <c r="P1792" s="54">
        <v>0.0643293671830235</v>
      </c>
    </row>
    <row r="1793" spans="1:16">
      <c r="A1793" t="s">
        <v>4299</v>
      </c>
      <c r="B1793" t="s">
        <v>1421</v>
      </c>
      <c r="C1793" t="s">
        <v>2170</v>
      </c>
      <c r="D1793" t="s">
        <v>53</v>
      </c>
      <c r="E1793" t="s">
        <v>100</v>
      </c>
      <c r="F1793" t="s">
        <v>229</v>
      </c>
      <c r="G1793">
        <v>2</v>
      </c>
      <c r="H1793">
        <v>1662.94</v>
      </c>
      <c r="I1793">
        <v>0.2</v>
      </c>
      <c r="J1793">
        <v>2660.7</v>
      </c>
      <c r="K1793">
        <v>477.23</v>
      </c>
      <c r="L1793">
        <v>4.3</v>
      </c>
      <c r="M1793" s="53">
        <v>45402</v>
      </c>
      <c r="N1793" t="s">
        <v>30</v>
      </c>
      <c r="O1793" t="s">
        <v>57</v>
      </c>
      <c r="P1793" s="54">
        <v>0.179362573758785</v>
      </c>
    </row>
    <row r="1794" spans="1:16">
      <c r="A1794" t="s">
        <v>4300</v>
      </c>
      <c r="B1794" t="s">
        <v>1713</v>
      </c>
      <c r="C1794" t="s">
        <v>1554</v>
      </c>
      <c r="D1794" t="s">
        <v>19</v>
      </c>
      <c r="E1794" t="s">
        <v>35</v>
      </c>
      <c r="F1794" t="s">
        <v>121</v>
      </c>
      <c r="G1794">
        <v>4</v>
      </c>
      <c r="H1794">
        <v>3154.15</v>
      </c>
      <c r="I1794">
        <v>0</v>
      </c>
      <c r="J1794">
        <v>12616.6</v>
      </c>
      <c r="K1794">
        <v>941.38</v>
      </c>
      <c r="L1794">
        <v>4.5</v>
      </c>
      <c r="M1794" s="53">
        <v>45539</v>
      </c>
      <c r="N1794" t="s">
        <v>30</v>
      </c>
      <c r="O1794" t="s">
        <v>57</v>
      </c>
      <c r="P1794" s="54">
        <v>0.074614396905664</v>
      </c>
    </row>
    <row r="1795" spans="1:16">
      <c r="A1795" t="s">
        <v>4301</v>
      </c>
      <c r="B1795" t="s">
        <v>604</v>
      </c>
      <c r="C1795" t="s">
        <v>4302</v>
      </c>
      <c r="D1795" t="s">
        <v>53</v>
      </c>
      <c r="E1795" t="s">
        <v>100</v>
      </c>
      <c r="F1795" t="s">
        <v>101</v>
      </c>
      <c r="G1795">
        <v>4</v>
      </c>
      <c r="H1795">
        <v>17180.04</v>
      </c>
      <c r="I1795">
        <v>0.2</v>
      </c>
      <c r="J1795">
        <v>54976.13</v>
      </c>
      <c r="K1795">
        <v>10216.34</v>
      </c>
      <c r="L1795">
        <v>4</v>
      </c>
      <c r="M1795" s="53">
        <v>44996</v>
      </c>
      <c r="N1795" t="s">
        <v>22</v>
      </c>
      <c r="O1795" t="s">
        <v>23</v>
      </c>
      <c r="P1795" s="54">
        <v>0.185832287576445</v>
      </c>
    </row>
    <row r="1796" spans="1:16">
      <c r="A1796" t="s">
        <v>4303</v>
      </c>
      <c r="B1796" t="s">
        <v>3175</v>
      </c>
      <c r="C1796" t="s">
        <v>4304</v>
      </c>
      <c r="D1796" t="s">
        <v>53</v>
      </c>
      <c r="E1796" t="s">
        <v>95</v>
      </c>
      <c r="F1796" t="s">
        <v>271</v>
      </c>
      <c r="G1796">
        <v>3</v>
      </c>
      <c r="H1796">
        <v>8983.1</v>
      </c>
      <c r="I1796">
        <v>0.05</v>
      </c>
      <c r="J1796">
        <v>25601.84</v>
      </c>
      <c r="K1796">
        <v>5031.65</v>
      </c>
      <c r="L1796">
        <v>4</v>
      </c>
      <c r="M1796" s="53">
        <v>45439</v>
      </c>
      <c r="N1796" t="s">
        <v>56</v>
      </c>
      <c r="O1796" t="s">
        <v>73</v>
      </c>
      <c r="P1796" s="54">
        <v>0.19653470219328</v>
      </c>
    </row>
    <row r="1797" spans="1:16">
      <c r="A1797" t="s">
        <v>4305</v>
      </c>
      <c r="B1797" t="s">
        <v>2092</v>
      </c>
      <c r="C1797" t="s">
        <v>1912</v>
      </c>
      <c r="D1797" t="s">
        <v>40</v>
      </c>
      <c r="E1797" t="s">
        <v>41</v>
      </c>
      <c r="F1797" t="s">
        <v>91</v>
      </c>
      <c r="G1797">
        <v>3</v>
      </c>
      <c r="H1797">
        <v>17213.3</v>
      </c>
      <c r="I1797">
        <v>0.15</v>
      </c>
      <c r="J1797">
        <v>43893.91</v>
      </c>
      <c r="K1797">
        <v>10438.84</v>
      </c>
      <c r="L1797">
        <v>2.4</v>
      </c>
      <c r="M1797" s="53">
        <v>45301</v>
      </c>
      <c r="N1797" t="s">
        <v>22</v>
      </c>
      <c r="O1797" t="s">
        <v>44</v>
      </c>
      <c r="P1797" s="54">
        <v>0.23781977955484</v>
      </c>
    </row>
    <row r="1798" spans="1:16">
      <c r="A1798" t="s">
        <v>4306</v>
      </c>
      <c r="B1798" t="s">
        <v>392</v>
      </c>
      <c r="C1798" t="s">
        <v>4307</v>
      </c>
      <c r="D1798" t="s">
        <v>53</v>
      </c>
      <c r="E1798" t="s">
        <v>71</v>
      </c>
      <c r="F1798" t="s">
        <v>225</v>
      </c>
      <c r="G1798">
        <v>3</v>
      </c>
      <c r="H1798">
        <v>13649.61</v>
      </c>
      <c r="I1798">
        <v>0.15</v>
      </c>
      <c r="J1798">
        <v>34806.51</v>
      </c>
      <c r="K1798">
        <v>6579.99</v>
      </c>
      <c r="L1798">
        <v>2.1</v>
      </c>
      <c r="M1798" s="53">
        <v>45360</v>
      </c>
      <c r="N1798" t="s">
        <v>43</v>
      </c>
      <c r="O1798" t="s">
        <v>57</v>
      </c>
      <c r="P1798" s="54">
        <v>0.189044807997125</v>
      </c>
    </row>
    <row r="1799" spans="1:16">
      <c r="A1799" t="s">
        <v>4308</v>
      </c>
      <c r="B1799" t="s">
        <v>1970</v>
      </c>
      <c r="C1799" t="s">
        <v>4309</v>
      </c>
      <c r="D1799" t="s">
        <v>19</v>
      </c>
      <c r="E1799" t="s">
        <v>35</v>
      </c>
      <c r="F1799" t="s">
        <v>245</v>
      </c>
      <c r="G1799">
        <v>5</v>
      </c>
      <c r="H1799">
        <v>3992.5</v>
      </c>
      <c r="I1799">
        <v>0</v>
      </c>
      <c r="J1799">
        <v>19962.5</v>
      </c>
      <c r="K1799">
        <v>1415.78</v>
      </c>
      <c r="L1799">
        <v>1.9</v>
      </c>
      <c r="M1799" s="53">
        <v>45543</v>
      </c>
      <c r="N1799" t="s">
        <v>56</v>
      </c>
      <c r="O1799" t="s">
        <v>44</v>
      </c>
      <c r="P1799" s="54">
        <v>0.0709219787100814</v>
      </c>
    </row>
    <row r="1800" spans="1:16">
      <c r="A1800" t="s">
        <v>4310</v>
      </c>
      <c r="B1800" t="s">
        <v>180</v>
      </c>
      <c r="C1800" t="s">
        <v>2577</v>
      </c>
      <c r="D1800" t="s">
        <v>53</v>
      </c>
      <c r="E1800" t="s">
        <v>71</v>
      </c>
      <c r="F1800" t="s">
        <v>150</v>
      </c>
      <c r="G1800">
        <v>3</v>
      </c>
      <c r="H1800">
        <v>9354.74</v>
      </c>
      <c r="I1800">
        <v>0.05</v>
      </c>
      <c r="J1800">
        <v>26661.01</v>
      </c>
      <c r="K1800">
        <v>2321.24</v>
      </c>
      <c r="L1800">
        <v>2.5</v>
      </c>
      <c r="M1800" s="53">
        <v>45174</v>
      </c>
      <c r="N1800" t="s">
        <v>43</v>
      </c>
      <c r="O1800" t="s">
        <v>73</v>
      </c>
      <c r="P1800" s="54">
        <v>0.0870649686564763</v>
      </c>
    </row>
    <row r="1801" spans="1:16">
      <c r="A1801" t="s">
        <v>4311</v>
      </c>
      <c r="B1801" t="s">
        <v>3576</v>
      </c>
      <c r="C1801" t="s">
        <v>4312</v>
      </c>
      <c r="D1801" t="s">
        <v>27</v>
      </c>
      <c r="E1801" t="s">
        <v>28</v>
      </c>
      <c r="F1801" t="s">
        <v>29</v>
      </c>
      <c r="G1801">
        <v>3</v>
      </c>
      <c r="H1801">
        <v>12582.76</v>
      </c>
      <c r="I1801">
        <v>0.05</v>
      </c>
      <c r="J1801">
        <v>35860.87</v>
      </c>
      <c r="K1801">
        <v>8605.71</v>
      </c>
      <c r="L1801">
        <v>1.5</v>
      </c>
      <c r="M1801" s="53">
        <v>45107</v>
      </c>
      <c r="N1801" t="s">
        <v>22</v>
      </c>
      <c r="O1801" t="s">
        <v>44</v>
      </c>
      <c r="P1801" s="54">
        <v>0.239974936469751</v>
      </c>
    </row>
    <row r="1802" spans="1:16">
      <c r="A1802" t="s">
        <v>4313</v>
      </c>
      <c r="B1802" t="s">
        <v>1108</v>
      </c>
      <c r="C1802" t="s">
        <v>4314</v>
      </c>
      <c r="D1802" t="s">
        <v>19</v>
      </c>
      <c r="E1802" t="s">
        <v>86</v>
      </c>
      <c r="F1802" t="s">
        <v>320</v>
      </c>
      <c r="G1802">
        <v>4</v>
      </c>
      <c r="H1802">
        <v>14008.21</v>
      </c>
      <c r="I1802">
        <v>0</v>
      </c>
      <c r="J1802">
        <v>56032.84</v>
      </c>
      <c r="K1802">
        <v>10098.24</v>
      </c>
      <c r="L1802">
        <v>2.1</v>
      </c>
      <c r="M1802" s="53">
        <v>45310</v>
      </c>
      <c r="N1802" t="s">
        <v>56</v>
      </c>
      <c r="O1802" t="s">
        <v>73</v>
      </c>
      <c r="P1802" s="54">
        <v>0.180220028112086</v>
      </c>
    </row>
    <row r="1803" spans="1:16">
      <c r="A1803" t="s">
        <v>4315</v>
      </c>
      <c r="B1803" t="s">
        <v>1320</v>
      </c>
      <c r="C1803" t="s">
        <v>4316</v>
      </c>
      <c r="D1803" t="s">
        <v>53</v>
      </c>
      <c r="E1803" t="s">
        <v>95</v>
      </c>
      <c r="F1803" t="s">
        <v>271</v>
      </c>
      <c r="G1803">
        <v>1</v>
      </c>
      <c r="H1803">
        <v>1661.51</v>
      </c>
      <c r="I1803">
        <v>0</v>
      </c>
      <c r="J1803">
        <v>1661.51</v>
      </c>
      <c r="K1803">
        <v>262.25</v>
      </c>
      <c r="L1803">
        <v>4.1</v>
      </c>
      <c r="M1803" s="53">
        <v>45050</v>
      </c>
      <c r="N1803" t="s">
        <v>22</v>
      </c>
      <c r="O1803" t="s">
        <v>23</v>
      </c>
      <c r="P1803" s="54">
        <v>0.157838351860657</v>
      </c>
    </row>
    <row r="1804" spans="1:16">
      <c r="A1804" t="s">
        <v>4317</v>
      </c>
      <c r="B1804" t="s">
        <v>4318</v>
      </c>
      <c r="C1804" t="s">
        <v>4319</v>
      </c>
      <c r="D1804" t="s">
        <v>27</v>
      </c>
      <c r="E1804" t="s">
        <v>117</v>
      </c>
      <c r="F1804" t="s">
        <v>118</v>
      </c>
      <c r="G1804">
        <v>2</v>
      </c>
      <c r="H1804">
        <v>1439.79</v>
      </c>
      <c r="I1804">
        <v>0.2</v>
      </c>
      <c r="J1804">
        <v>2303.66</v>
      </c>
      <c r="K1804">
        <v>361.81</v>
      </c>
      <c r="L1804">
        <v>1.4</v>
      </c>
      <c r="M1804" s="53">
        <v>45427</v>
      </c>
      <c r="N1804" t="s">
        <v>43</v>
      </c>
      <c r="O1804" t="s">
        <v>23</v>
      </c>
      <c r="P1804" s="54">
        <v>0.157058767352821</v>
      </c>
    </row>
    <row r="1805" spans="1:16">
      <c r="A1805" t="s">
        <v>4320</v>
      </c>
      <c r="B1805" t="s">
        <v>546</v>
      </c>
      <c r="C1805" t="s">
        <v>4321</v>
      </c>
      <c r="D1805" t="s">
        <v>19</v>
      </c>
      <c r="E1805" t="s">
        <v>86</v>
      </c>
      <c r="F1805" t="s">
        <v>87</v>
      </c>
      <c r="G1805">
        <v>5</v>
      </c>
      <c r="H1805">
        <v>6673.85</v>
      </c>
      <c r="I1805">
        <v>0.1</v>
      </c>
      <c r="J1805">
        <v>30032.33</v>
      </c>
      <c r="K1805">
        <v>5230.3</v>
      </c>
      <c r="L1805">
        <v>3.4</v>
      </c>
      <c r="M1805" s="53">
        <v>45389</v>
      </c>
      <c r="N1805" t="s">
        <v>56</v>
      </c>
      <c r="O1805" t="s">
        <v>44</v>
      </c>
      <c r="P1805" s="54">
        <v>0.1741556515928</v>
      </c>
    </row>
    <row r="1806" spans="1:16">
      <c r="A1806" t="s">
        <v>4322</v>
      </c>
      <c r="B1806" t="s">
        <v>513</v>
      </c>
      <c r="C1806" t="s">
        <v>4323</v>
      </c>
      <c r="D1806" t="s">
        <v>27</v>
      </c>
      <c r="E1806" t="s">
        <v>233</v>
      </c>
      <c r="F1806" t="s">
        <v>234</v>
      </c>
      <c r="G1806">
        <v>3</v>
      </c>
      <c r="H1806">
        <v>12101.02</v>
      </c>
      <c r="I1806">
        <v>0</v>
      </c>
      <c r="J1806">
        <v>36303.06</v>
      </c>
      <c r="K1806">
        <v>8855.11</v>
      </c>
      <c r="L1806">
        <v>4.8</v>
      </c>
      <c r="M1806" s="53">
        <v>45334</v>
      </c>
      <c r="N1806" t="s">
        <v>43</v>
      </c>
      <c r="O1806" t="s">
        <v>44</v>
      </c>
      <c r="P1806" s="54">
        <v>0.243921862234203</v>
      </c>
    </row>
    <row r="1807" spans="1:16">
      <c r="A1807" t="s">
        <v>4324</v>
      </c>
      <c r="B1807" t="s">
        <v>4325</v>
      </c>
      <c r="C1807" t="s">
        <v>4326</v>
      </c>
      <c r="D1807" t="s">
        <v>40</v>
      </c>
      <c r="E1807" t="s">
        <v>174</v>
      </c>
      <c r="F1807" t="s">
        <v>313</v>
      </c>
      <c r="G1807">
        <v>4</v>
      </c>
      <c r="H1807">
        <v>19326.29</v>
      </c>
      <c r="I1807">
        <v>0.15</v>
      </c>
      <c r="J1807">
        <v>65709.39</v>
      </c>
      <c r="K1807">
        <v>12953.61</v>
      </c>
      <c r="L1807">
        <v>4.3</v>
      </c>
      <c r="M1807" s="53">
        <v>45526</v>
      </c>
      <c r="N1807" t="s">
        <v>30</v>
      </c>
      <c r="O1807" t="s">
        <v>44</v>
      </c>
      <c r="P1807" s="54">
        <v>0.197134838719398</v>
      </c>
    </row>
    <row r="1808" spans="1:16">
      <c r="A1808" t="s">
        <v>4327</v>
      </c>
      <c r="B1808" t="s">
        <v>2553</v>
      </c>
      <c r="C1808" t="s">
        <v>4328</v>
      </c>
      <c r="D1808" t="s">
        <v>27</v>
      </c>
      <c r="E1808" t="s">
        <v>48</v>
      </c>
      <c r="F1808" t="s">
        <v>64</v>
      </c>
      <c r="G1808">
        <v>5</v>
      </c>
      <c r="H1808">
        <v>17348.99</v>
      </c>
      <c r="I1808">
        <v>0.05</v>
      </c>
      <c r="J1808">
        <v>82407.7</v>
      </c>
      <c r="K1808">
        <v>4772.79</v>
      </c>
      <c r="L1808">
        <v>2.9</v>
      </c>
      <c r="M1808" s="53">
        <v>45545</v>
      </c>
      <c r="N1808" t="s">
        <v>30</v>
      </c>
      <c r="O1808" t="s">
        <v>44</v>
      </c>
      <c r="P1808" s="54">
        <v>0.0579167966100255</v>
      </c>
    </row>
    <row r="1809" spans="1:16">
      <c r="A1809" t="s">
        <v>4329</v>
      </c>
      <c r="B1809" t="s">
        <v>4330</v>
      </c>
      <c r="C1809" t="s">
        <v>4331</v>
      </c>
      <c r="D1809" t="s">
        <v>19</v>
      </c>
      <c r="E1809" t="s">
        <v>20</v>
      </c>
      <c r="F1809" t="s">
        <v>134</v>
      </c>
      <c r="G1809">
        <v>2</v>
      </c>
      <c r="H1809">
        <v>4999.99</v>
      </c>
      <c r="I1809">
        <v>0.15</v>
      </c>
      <c r="J1809">
        <v>8499.98</v>
      </c>
      <c r="K1809">
        <v>800.8</v>
      </c>
      <c r="L1809">
        <v>2.7</v>
      </c>
      <c r="M1809" s="53">
        <v>45019</v>
      </c>
      <c r="N1809" t="s">
        <v>43</v>
      </c>
      <c r="O1809" t="s">
        <v>23</v>
      </c>
      <c r="P1809" s="54">
        <v>0.0942119863811444</v>
      </c>
    </row>
    <row r="1810" spans="1:16">
      <c r="A1810" t="s">
        <v>4332</v>
      </c>
      <c r="B1810" t="s">
        <v>1631</v>
      </c>
      <c r="C1810" t="s">
        <v>4333</v>
      </c>
      <c r="D1810" t="s">
        <v>27</v>
      </c>
      <c r="E1810" t="s">
        <v>48</v>
      </c>
      <c r="F1810" t="s">
        <v>49</v>
      </c>
      <c r="G1810">
        <v>4</v>
      </c>
      <c r="H1810">
        <v>9981.17</v>
      </c>
      <c r="I1810">
        <v>0.05</v>
      </c>
      <c r="J1810">
        <v>37928.45</v>
      </c>
      <c r="K1810">
        <v>7319.89</v>
      </c>
      <c r="L1810">
        <v>4.3</v>
      </c>
      <c r="M1810" s="53">
        <v>45264</v>
      </c>
      <c r="N1810" t="s">
        <v>56</v>
      </c>
      <c r="O1810" t="s">
        <v>31</v>
      </c>
      <c r="P1810" s="54">
        <v>0.19299206795954</v>
      </c>
    </row>
    <row r="1811" spans="1:16">
      <c r="A1811" t="s">
        <v>4334</v>
      </c>
      <c r="B1811" t="s">
        <v>111</v>
      </c>
      <c r="C1811" t="s">
        <v>1798</v>
      </c>
      <c r="D1811" t="s">
        <v>19</v>
      </c>
      <c r="E1811" t="s">
        <v>129</v>
      </c>
      <c r="F1811" t="s">
        <v>130</v>
      </c>
      <c r="G1811">
        <v>4</v>
      </c>
      <c r="H1811">
        <v>19928.76</v>
      </c>
      <c r="I1811">
        <v>0.2</v>
      </c>
      <c r="J1811">
        <v>63772.03</v>
      </c>
      <c r="K1811">
        <v>12207.22</v>
      </c>
      <c r="L1811">
        <v>1.3</v>
      </c>
      <c r="M1811" s="53">
        <v>45241</v>
      </c>
      <c r="N1811" t="s">
        <v>22</v>
      </c>
      <c r="O1811" t="s">
        <v>44</v>
      </c>
      <c r="P1811" s="54">
        <v>0.191419655294021</v>
      </c>
    </row>
    <row r="1812" spans="1:16">
      <c r="A1812" t="s">
        <v>4335</v>
      </c>
      <c r="B1812" t="s">
        <v>1881</v>
      </c>
      <c r="C1812" t="s">
        <v>4336</v>
      </c>
      <c r="D1812" t="s">
        <v>19</v>
      </c>
      <c r="E1812" t="s">
        <v>35</v>
      </c>
      <c r="F1812" t="s">
        <v>245</v>
      </c>
      <c r="G1812">
        <v>2</v>
      </c>
      <c r="H1812">
        <v>5271.95</v>
      </c>
      <c r="I1812">
        <v>0</v>
      </c>
      <c r="J1812">
        <v>10543.9</v>
      </c>
      <c r="K1812">
        <v>1323.43</v>
      </c>
      <c r="L1812">
        <v>2.8</v>
      </c>
      <c r="M1812" s="53">
        <v>45304</v>
      </c>
      <c r="N1812" t="s">
        <v>56</v>
      </c>
      <c r="O1812" t="s">
        <v>23</v>
      </c>
      <c r="P1812" s="54">
        <v>0.125516175229279</v>
      </c>
    </row>
    <row r="1813" spans="1:16">
      <c r="A1813" t="s">
        <v>4337</v>
      </c>
      <c r="B1813" t="s">
        <v>746</v>
      </c>
      <c r="C1813" t="s">
        <v>4338</v>
      </c>
      <c r="D1813" t="s">
        <v>53</v>
      </c>
      <c r="E1813" t="s">
        <v>71</v>
      </c>
      <c r="F1813" t="s">
        <v>225</v>
      </c>
      <c r="G1813">
        <v>4</v>
      </c>
      <c r="H1813">
        <v>659.53</v>
      </c>
      <c r="I1813">
        <v>0</v>
      </c>
      <c r="J1813">
        <v>2638.12</v>
      </c>
      <c r="K1813">
        <v>409.02</v>
      </c>
      <c r="L1813">
        <v>3.2</v>
      </c>
      <c r="M1813" s="53">
        <v>45594</v>
      </c>
      <c r="N1813" t="s">
        <v>22</v>
      </c>
      <c r="O1813" t="s">
        <v>23</v>
      </c>
      <c r="P1813" s="54">
        <v>0.155042227040468</v>
      </c>
    </row>
    <row r="1814" spans="1:16">
      <c r="A1814" t="s">
        <v>4339</v>
      </c>
      <c r="B1814" t="s">
        <v>1662</v>
      </c>
      <c r="C1814" t="s">
        <v>4340</v>
      </c>
      <c r="D1814" t="s">
        <v>53</v>
      </c>
      <c r="E1814" t="s">
        <v>54</v>
      </c>
      <c r="F1814" t="s">
        <v>109</v>
      </c>
      <c r="G1814">
        <v>1</v>
      </c>
      <c r="H1814">
        <v>12015.11</v>
      </c>
      <c r="I1814">
        <v>0.15</v>
      </c>
      <c r="J1814">
        <v>10212.84</v>
      </c>
      <c r="K1814">
        <v>685.36</v>
      </c>
      <c r="L1814">
        <v>1</v>
      </c>
      <c r="M1814" s="53">
        <v>45385</v>
      </c>
      <c r="N1814" t="s">
        <v>30</v>
      </c>
      <c r="O1814" t="s">
        <v>31</v>
      </c>
      <c r="P1814" s="54">
        <v>0.0671076801359857</v>
      </c>
    </row>
    <row r="1815" spans="1:16">
      <c r="A1815" t="s">
        <v>4341</v>
      </c>
      <c r="B1815" t="s">
        <v>2123</v>
      </c>
      <c r="C1815" t="s">
        <v>4342</v>
      </c>
      <c r="D1815" t="s">
        <v>19</v>
      </c>
      <c r="E1815" t="s">
        <v>129</v>
      </c>
      <c r="F1815" t="s">
        <v>302</v>
      </c>
      <c r="G1815">
        <v>4</v>
      </c>
      <c r="H1815">
        <v>12126.48</v>
      </c>
      <c r="I1815">
        <v>0.2</v>
      </c>
      <c r="J1815">
        <v>38804.74</v>
      </c>
      <c r="K1815">
        <v>6220.82</v>
      </c>
      <c r="L1815">
        <v>2.6</v>
      </c>
      <c r="M1815" s="53">
        <v>44939</v>
      </c>
      <c r="N1815" t="s">
        <v>22</v>
      </c>
      <c r="O1815" t="s">
        <v>44</v>
      </c>
      <c r="P1815" s="54">
        <v>0.160310828007094</v>
      </c>
    </row>
    <row r="1816" spans="1:16">
      <c r="A1816" t="s">
        <v>4343</v>
      </c>
      <c r="B1816" t="s">
        <v>4344</v>
      </c>
      <c r="C1816" t="s">
        <v>4345</v>
      </c>
      <c r="D1816" t="s">
        <v>27</v>
      </c>
      <c r="E1816" t="s">
        <v>48</v>
      </c>
      <c r="F1816" t="s">
        <v>49</v>
      </c>
      <c r="G1816">
        <v>2</v>
      </c>
      <c r="H1816">
        <v>9823.28</v>
      </c>
      <c r="I1816">
        <v>0</v>
      </c>
      <c r="J1816">
        <v>19646.56</v>
      </c>
      <c r="K1816">
        <v>2156.61</v>
      </c>
      <c r="L1816">
        <v>3.3</v>
      </c>
      <c r="M1816" s="53">
        <v>45243</v>
      </c>
      <c r="N1816" t="s">
        <v>30</v>
      </c>
      <c r="O1816" t="s">
        <v>73</v>
      </c>
      <c r="P1816" s="54">
        <v>0.109770361834336</v>
      </c>
    </row>
    <row r="1817" spans="1:16">
      <c r="A1817" t="s">
        <v>4346</v>
      </c>
      <c r="B1817" t="s">
        <v>142</v>
      </c>
      <c r="C1817" t="s">
        <v>4347</v>
      </c>
      <c r="D1817" t="s">
        <v>40</v>
      </c>
      <c r="E1817" t="s">
        <v>81</v>
      </c>
      <c r="F1817" t="s">
        <v>358</v>
      </c>
      <c r="G1817">
        <v>2</v>
      </c>
      <c r="H1817">
        <v>5339.35</v>
      </c>
      <c r="I1817">
        <v>0.2</v>
      </c>
      <c r="J1817">
        <v>8542.96</v>
      </c>
      <c r="K1817">
        <v>624.38</v>
      </c>
      <c r="L1817">
        <v>4.3</v>
      </c>
      <c r="M1817" s="53">
        <v>45356</v>
      </c>
      <c r="N1817" t="s">
        <v>43</v>
      </c>
      <c r="O1817" t="s">
        <v>23</v>
      </c>
      <c r="P1817" s="54">
        <v>0.0730870798880014</v>
      </c>
    </row>
    <row r="1818" spans="1:16">
      <c r="A1818" t="s">
        <v>4348</v>
      </c>
      <c r="B1818" t="s">
        <v>503</v>
      </c>
      <c r="C1818" t="s">
        <v>932</v>
      </c>
      <c r="D1818" t="s">
        <v>19</v>
      </c>
      <c r="E1818" t="s">
        <v>86</v>
      </c>
      <c r="F1818" t="s">
        <v>87</v>
      </c>
      <c r="G1818">
        <v>5</v>
      </c>
      <c r="H1818">
        <v>8519.41</v>
      </c>
      <c r="I1818">
        <v>0.2</v>
      </c>
      <c r="J1818">
        <v>34077.64</v>
      </c>
      <c r="K1818">
        <v>4181.46</v>
      </c>
      <c r="L1818">
        <v>1.9</v>
      </c>
      <c r="M1818" s="53">
        <v>45416</v>
      </c>
      <c r="N1818" t="s">
        <v>22</v>
      </c>
      <c r="O1818" t="s">
        <v>44</v>
      </c>
      <c r="P1818" s="54">
        <v>0.122703919637628</v>
      </c>
    </row>
    <row r="1819" spans="1:16">
      <c r="A1819" t="s">
        <v>4349</v>
      </c>
      <c r="B1819" t="s">
        <v>392</v>
      </c>
      <c r="C1819" t="s">
        <v>4350</v>
      </c>
      <c r="D1819" t="s">
        <v>40</v>
      </c>
      <c r="E1819" t="s">
        <v>262</v>
      </c>
      <c r="F1819" t="s">
        <v>263</v>
      </c>
      <c r="G1819">
        <v>5</v>
      </c>
      <c r="H1819">
        <v>11083.66</v>
      </c>
      <c r="I1819">
        <v>0.15</v>
      </c>
      <c r="J1819">
        <v>47105.56</v>
      </c>
      <c r="K1819">
        <v>5599.98</v>
      </c>
      <c r="L1819">
        <v>2.3</v>
      </c>
      <c r="M1819" s="53">
        <v>45503</v>
      </c>
      <c r="N1819" t="s">
        <v>30</v>
      </c>
      <c r="O1819" t="s">
        <v>57</v>
      </c>
      <c r="P1819" s="54">
        <v>0.118881507830498</v>
      </c>
    </row>
    <row r="1820" spans="1:16">
      <c r="A1820" t="s">
        <v>4351</v>
      </c>
      <c r="B1820" t="s">
        <v>4352</v>
      </c>
      <c r="C1820" t="s">
        <v>4353</v>
      </c>
      <c r="D1820" t="s">
        <v>53</v>
      </c>
      <c r="E1820" t="s">
        <v>100</v>
      </c>
      <c r="F1820" t="s">
        <v>267</v>
      </c>
      <c r="G1820">
        <v>1</v>
      </c>
      <c r="H1820">
        <v>14274.62</v>
      </c>
      <c r="I1820">
        <v>0</v>
      </c>
      <c r="J1820">
        <v>14274.62</v>
      </c>
      <c r="K1820">
        <v>895.88</v>
      </c>
      <c r="L1820">
        <v>4.5</v>
      </c>
      <c r="M1820" s="53">
        <v>45538</v>
      </c>
      <c r="N1820" t="s">
        <v>22</v>
      </c>
      <c r="O1820" t="s">
        <v>73</v>
      </c>
      <c r="P1820" s="54">
        <v>0.0627603396797953</v>
      </c>
    </row>
    <row r="1821" spans="1:16">
      <c r="A1821" t="s">
        <v>4354</v>
      </c>
      <c r="B1821" t="s">
        <v>459</v>
      </c>
      <c r="C1821" t="s">
        <v>4355</v>
      </c>
      <c r="D1821" t="s">
        <v>27</v>
      </c>
      <c r="E1821" t="s">
        <v>28</v>
      </c>
      <c r="F1821" t="s">
        <v>192</v>
      </c>
      <c r="G1821">
        <v>3</v>
      </c>
      <c r="H1821">
        <v>14411.72</v>
      </c>
      <c r="I1821">
        <v>0</v>
      </c>
      <c r="J1821">
        <v>43235.16</v>
      </c>
      <c r="K1821">
        <v>10415.32</v>
      </c>
      <c r="L1821">
        <v>4.8</v>
      </c>
      <c r="M1821" s="53">
        <v>45028</v>
      </c>
      <c r="N1821" t="s">
        <v>22</v>
      </c>
      <c r="O1821" t="s">
        <v>44</v>
      </c>
      <c r="P1821" s="54">
        <v>0.240899305102606</v>
      </c>
    </row>
    <row r="1822" spans="1:16">
      <c r="A1822" t="s">
        <v>4356</v>
      </c>
      <c r="B1822" t="s">
        <v>1814</v>
      </c>
      <c r="C1822" t="s">
        <v>4357</v>
      </c>
      <c r="D1822" t="s">
        <v>19</v>
      </c>
      <c r="E1822" t="s">
        <v>20</v>
      </c>
      <c r="F1822" t="s">
        <v>134</v>
      </c>
      <c r="G1822">
        <v>2</v>
      </c>
      <c r="H1822">
        <v>15939.55</v>
      </c>
      <c r="I1822">
        <v>0.2</v>
      </c>
      <c r="J1822">
        <v>25503.28</v>
      </c>
      <c r="K1822">
        <v>6199.72</v>
      </c>
      <c r="L1822">
        <v>4.1</v>
      </c>
      <c r="M1822" s="53">
        <v>45457</v>
      </c>
      <c r="N1822" t="s">
        <v>43</v>
      </c>
      <c r="O1822" t="s">
        <v>57</v>
      </c>
      <c r="P1822" s="54">
        <v>0.243095005818859</v>
      </c>
    </row>
    <row r="1823" spans="1:16">
      <c r="A1823" t="s">
        <v>4358</v>
      </c>
      <c r="B1823" t="s">
        <v>3676</v>
      </c>
      <c r="C1823" t="s">
        <v>4359</v>
      </c>
      <c r="D1823" t="s">
        <v>27</v>
      </c>
      <c r="E1823" t="s">
        <v>117</v>
      </c>
      <c r="F1823" t="s">
        <v>505</v>
      </c>
      <c r="G1823">
        <v>3</v>
      </c>
      <c r="H1823">
        <v>11821.89</v>
      </c>
      <c r="I1823">
        <v>0.15</v>
      </c>
      <c r="J1823">
        <v>30145.82</v>
      </c>
      <c r="K1823">
        <v>6002.11</v>
      </c>
      <c r="L1823">
        <v>2.3</v>
      </c>
      <c r="M1823" s="53">
        <v>45344</v>
      </c>
      <c r="N1823" t="s">
        <v>56</v>
      </c>
      <c r="O1823" t="s">
        <v>73</v>
      </c>
      <c r="P1823" s="54">
        <v>0.199102562146261</v>
      </c>
    </row>
    <row r="1824" spans="1:16">
      <c r="A1824" t="s">
        <v>4360</v>
      </c>
      <c r="B1824" t="s">
        <v>4153</v>
      </c>
      <c r="C1824" t="s">
        <v>4361</v>
      </c>
      <c r="D1824" t="s">
        <v>40</v>
      </c>
      <c r="E1824" t="s">
        <v>174</v>
      </c>
      <c r="F1824" t="s">
        <v>199</v>
      </c>
      <c r="G1824">
        <v>4</v>
      </c>
      <c r="H1824">
        <v>12334.65</v>
      </c>
      <c r="I1824">
        <v>0.1</v>
      </c>
      <c r="J1824">
        <v>44404.74</v>
      </c>
      <c r="K1824">
        <v>9093.47</v>
      </c>
      <c r="L1824">
        <v>3.9</v>
      </c>
      <c r="M1824" s="53">
        <v>45527</v>
      </c>
      <c r="N1824" t="s">
        <v>56</v>
      </c>
      <c r="O1824" t="s">
        <v>73</v>
      </c>
      <c r="P1824" s="54">
        <v>0.204786020591495</v>
      </c>
    </row>
    <row r="1825" spans="1:16">
      <c r="A1825" t="s">
        <v>4362</v>
      </c>
      <c r="B1825" t="s">
        <v>4363</v>
      </c>
      <c r="C1825" t="s">
        <v>2524</v>
      </c>
      <c r="D1825" t="s">
        <v>27</v>
      </c>
      <c r="E1825" t="s">
        <v>48</v>
      </c>
      <c r="F1825" t="s">
        <v>77</v>
      </c>
      <c r="G1825">
        <v>3</v>
      </c>
      <c r="H1825">
        <v>10077.9</v>
      </c>
      <c r="I1825">
        <v>0.1</v>
      </c>
      <c r="J1825">
        <v>27210.33</v>
      </c>
      <c r="K1825">
        <v>2475.22</v>
      </c>
      <c r="L1825">
        <v>4</v>
      </c>
      <c r="M1825" s="53">
        <v>45587</v>
      </c>
      <c r="N1825" t="s">
        <v>22</v>
      </c>
      <c r="O1825" t="s">
        <v>73</v>
      </c>
      <c r="P1825" s="54">
        <v>0.0909661882086693</v>
      </c>
    </row>
    <row r="1826" spans="1:16">
      <c r="A1826" t="s">
        <v>4364</v>
      </c>
      <c r="B1826" t="s">
        <v>3348</v>
      </c>
      <c r="C1826" t="s">
        <v>4365</v>
      </c>
      <c r="D1826" t="s">
        <v>40</v>
      </c>
      <c r="E1826" t="s">
        <v>262</v>
      </c>
      <c r="F1826" t="s">
        <v>345</v>
      </c>
      <c r="G1826">
        <v>5</v>
      </c>
      <c r="H1826">
        <v>323.58</v>
      </c>
      <c r="I1826">
        <v>0.2</v>
      </c>
      <c r="J1826">
        <v>1294.32</v>
      </c>
      <c r="K1826">
        <v>152.18</v>
      </c>
      <c r="L1826">
        <v>4.2</v>
      </c>
      <c r="M1826" s="53">
        <v>45375</v>
      </c>
      <c r="N1826" t="s">
        <v>56</v>
      </c>
      <c r="O1826" t="s">
        <v>73</v>
      </c>
      <c r="P1826" s="54">
        <v>0.117575251869708</v>
      </c>
    </row>
    <row r="1827" spans="1:16">
      <c r="A1827" t="s">
        <v>4366</v>
      </c>
      <c r="B1827" t="s">
        <v>115</v>
      </c>
      <c r="C1827" t="s">
        <v>2670</v>
      </c>
      <c r="D1827" t="s">
        <v>27</v>
      </c>
      <c r="E1827" t="s">
        <v>117</v>
      </c>
      <c r="F1827" t="s">
        <v>192</v>
      </c>
      <c r="G1827">
        <v>3</v>
      </c>
      <c r="H1827">
        <v>19833.44</v>
      </c>
      <c r="I1827">
        <v>0</v>
      </c>
      <c r="J1827">
        <v>59500.32</v>
      </c>
      <c r="K1827">
        <v>10503.98</v>
      </c>
      <c r="L1827">
        <v>1.2</v>
      </c>
      <c r="M1827" s="53">
        <v>44933</v>
      </c>
      <c r="N1827" t="s">
        <v>30</v>
      </c>
      <c r="O1827" t="s">
        <v>23</v>
      </c>
      <c r="P1827" s="54">
        <v>0.176536529551438</v>
      </c>
    </row>
    <row r="1828" spans="1:16">
      <c r="A1828" t="s">
        <v>4367</v>
      </c>
      <c r="B1828" t="s">
        <v>3654</v>
      </c>
      <c r="C1828" t="s">
        <v>4368</v>
      </c>
      <c r="D1828" t="s">
        <v>40</v>
      </c>
      <c r="E1828" t="s">
        <v>174</v>
      </c>
      <c r="F1828" t="s">
        <v>175</v>
      </c>
      <c r="G1828">
        <v>2</v>
      </c>
      <c r="H1828">
        <v>9929.22</v>
      </c>
      <c r="I1828">
        <v>0</v>
      </c>
      <c r="J1828">
        <v>19858.44</v>
      </c>
      <c r="K1828">
        <v>3240.93</v>
      </c>
      <c r="L1828">
        <v>1.6</v>
      </c>
      <c r="M1828" s="53">
        <v>45551</v>
      </c>
      <c r="N1828" t="s">
        <v>30</v>
      </c>
      <c r="O1828" t="s">
        <v>31</v>
      </c>
      <c r="P1828" s="54">
        <v>0.163201641216531</v>
      </c>
    </row>
    <row r="1829" spans="1:16">
      <c r="A1829" t="s">
        <v>4369</v>
      </c>
      <c r="B1829" t="s">
        <v>1762</v>
      </c>
      <c r="C1829" t="s">
        <v>4370</v>
      </c>
      <c r="D1829" t="s">
        <v>40</v>
      </c>
      <c r="E1829" t="s">
        <v>41</v>
      </c>
      <c r="F1829" t="s">
        <v>154</v>
      </c>
      <c r="G1829">
        <v>1</v>
      </c>
      <c r="H1829">
        <v>1285.49</v>
      </c>
      <c r="I1829">
        <v>0.1</v>
      </c>
      <c r="J1829">
        <v>1156.94</v>
      </c>
      <c r="K1829">
        <v>188.06</v>
      </c>
      <c r="L1829">
        <v>3.5</v>
      </c>
      <c r="M1829" s="53">
        <v>45140</v>
      </c>
      <c r="N1829" t="s">
        <v>43</v>
      </c>
      <c r="O1829" t="s">
        <v>57</v>
      </c>
      <c r="P1829" s="54">
        <v>0.162549483983612</v>
      </c>
    </row>
    <row r="1830" spans="1:16">
      <c r="A1830" t="s">
        <v>4371</v>
      </c>
      <c r="B1830" t="s">
        <v>1231</v>
      </c>
      <c r="C1830" t="s">
        <v>2502</v>
      </c>
      <c r="D1830" t="s">
        <v>40</v>
      </c>
      <c r="E1830" t="s">
        <v>41</v>
      </c>
      <c r="F1830" t="s">
        <v>125</v>
      </c>
      <c r="G1830">
        <v>4</v>
      </c>
      <c r="H1830">
        <v>13822.51</v>
      </c>
      <c r="I1830">
        <v>0.1</v>
      </c>
      <c r="J1830">
        <v>49761.04</v>
      </c>
      <c r="K1830">
        <v>9856.21</v>
      </c>
      <c r="L1830">
        <v>2.4</v>
      </c>
      <c r="M1830" s="53">
        <v>45403</v>
      </c>
      <c r="N1830" t="s">
        <v>30</v>
      </c>
      <c r="O1830" t="s">
        <v>44</v>
      </c>
      <c r="P1830" s="54">
        <v>0.198070820063246</v>
      </c>
    </row>
    <row r="1831" spans="1:16">
      <c r="A1831" t="s">
        <v>4372</v>
      </c>
      <c r="B1831" t="s">
        <v>4373</v>
      </c>
      <c r="C1831" t="s">
        <v>1496</v>
      </c>
      <c r="D1831" t="s">
        <v>19</v>
      </c>
      <c r="E1831" t="s">
        <v>35</v>
      </c>
      <c r="F1831" t="s">
        <v>121</v>
      </c>
      <c r="G1831">
        <v>3</v>
      </c>
      <c r="H1831">
        <v>2887.29</v>
      </c>
      <c r="I1831">
        <v>0</v>
      </c>
      <c r="J1831">
        <v>8661.87</v>
      </c>
      <c r="K1831">
        <v>1424.63</v>
      </c>
      <c r="L1831">
        <v>2.3</v>
      </c>
      <c r="M1831" s="53">
        <v>45152</v>
      </c>
      <c r="N1831" t="s">
        <v>22</v>
      </c>
      <c r="O1831" t="s">
        <v>57</v>
      </c>
      <c r="P1831" s="54">
        <v>0.164471413216776</v>
      </c>
    </row>
    <row r="1832" spans="1:16">
      <c r="A1832" t="s">
        <v>4374</v>
      </c>
      <c r="B1832" t="s">
        <v>3049</v>
      </c>
      <c r="C1832" t="s">
        <v>4375</v>
      </c>
      <c r="D1832" t="s">
        <v>19</v>
      </c>
      <c r="E1832" t="s">
        <v>35</v>
      </c>
      <c r="F1832" t="s">
        <v>121</v>
      </c>
      <c r="G1832">
        <v>5</v>
      </c>
      <c r="H1832">
        <v>18346.33</v>
      </c>
      <c r="I1832">
        <v>0.15</v>
      </c>
      <c r="J1832">
        <v>77971.9</v>
      </c>
      <c r="K1832">
        <v>7912.57</v>
      </c>
      <c r="L1832">
        <v>1.4</v>
      </c>
      <c r="M1832" s="53">
        <v>44967</v>
      </c>
      <c r="N1832" t="s">
        <v>56</v>
      </c>
      <c r="O1832" t="s">
        <v>23</v>
      </c>
      <c r="P1832" s="54">
        <v>0.101479763863648</v>
      </c>
    </row>
    <row r="1833" spans="1:16">
      <c r="A1833" t="s">
        <v>4376</v>
      </c>
      <c r="B1833" t="s">
        <v>1927</v>
      </c>
      <c r="C1833" t="s">
        <v>4377</v>
      </c>
      <c r="D1833" t="s">
        <v>19</v>
      </c>
      <c r="E1833" t="s">
        <v>20</v>
      </c>
      <c r="F1833" t="s">
        <v>21</v>
      </c>
      <c r="G1833">
        <v>1</v>
      </c>
      <c r="H1833">
        <v>19894.24</v>
      </c>
      <c r="I1833">
        <v>0.05</v>
      </c>
      <c r="J1833">
        <v>18899.53</v>
      </c>
      <c r="K1833">
        <v>2199.39</v>
      </c>
      <c r="L1833">
        <v>1</v>
      </c>
      <c r="M1833" s="53">
        <v>45372</v>
      </c>
      <c r="N1833" t="s">
        <v>43</v>
      </c>
      <c r="O1833" t="s">
        <v>31</v>
      </c>
      <c r="P1833" s="54">
        <v>0.116372735195002</v>
      </c>
    </row>
    <row r="1834" spans="1:16">
      <c r="A1834" t="s">
        <v>4378</v>
      </c>
      <c r="B1834" t="s">
        <v>1049</v>
      </c>
      <c r="C1834" t="s">
        <v>4379</v>
      </c>
      <c r="D1834" t="s">
        <v>19</v>
      </c>
      <c r="E1834" t="s">
        <v>20</v>
      </c>
      <c r="F1834" t="s">
        <v>121</v>
      </c>
      <c r="G1834">
        <v>3</v>
      </c>
      <c r="H1834">
        <v>18895.46</v>
      </c>
      <c r="I1834">
        <v>0.1</v>
      </c>
      <c r="J1834">
        <v>51017.74</v>
      </c>
      <c r="K1834">
        <v>8334.71</v>
      </c>
      <c r="L1834">
        <v>3.9</v>
      </c>
      <c r="M1834" s="53">
        <v>45054</v>
      </c>
      <c r="N1834" t="s">
        <v>30</v>
      </c>
      <c r="O1834" t="s">
        <v>73</v>
      </c>
      <c r="P1834" s="54">
        <v>0.163368859537878</v>
      </c>
    </row>
    <row r="1835" spans="1:16">
      <c r="A1835" t="s">
        <v>4380</v>
      </c>
      <c r="B1835" t="s">
        <v>423</v>
      </c>
      <c r="C1835" t="s">
        <v>4381</v>
      </c>
      <c r="D1835" t="s">
        <v>53</v>
      </c>
      <c r="E1835" t="s">
        <v>71</v>
      </c>
      <c r="F1835" t="s">
        <v>72</v>
      </c>
      <c r="G1835">
        <v>1</v>
      </c>
      <c r="H1835">
        <v>9910.85</v>
      </c>
      <c r="I1835">
        <v>0.05</v>
      </c>
      <c r="J1835">
        <v>9415.31</v>
      </c>
      <c r="K1835">
        <v>1422.14</v>
      </c>
      <c r="L1835">
        <v>1.2</v>
      </c>
      <c r="M1835" s="53">
        <v>45110</v>
      </c>
      <c r="N1835" t="s">
        <v>43</v>
      </c>
      <c r="O1835" t="s">
        <v>31</v>
      </c>
      <c r="P1835" s="54">
        <v>0.151045478056485</v>
      </c>
    </row>
    <row r="1836" spans="1:16">
      <c r="A1836" t="s">
        <v>4382</v>
      </c>
      <c r="B1836" t="s">
        <v>1234</v>
      </c>
      <c r="C1836" t="s">
        <v>4383</v>
      </c>
      <c r="D1836" t="s">
        <v>53</v>
      </c>
      <c r="E1836" t="s">
        <v>71</v>
      </c>
      <c r="F1836" t="s">
        <v>150</v>
      </c>
      <c r="G1836">
        <v>2</v>
      </c>
      <c r="H1836">
        <v>5462.04</v>
      </c>
      <c r="I1836">
        <v>0.05</v>
      </c>
      <c r="J1836">
        <v>10377.88</v>
      </c>
      <c r="K1836">
        <v>1848.2</v>
      </c>
      <c r="L1836">
        <v>2.1</v>
      </c>
      <c r="M1836" s="53">
        <v>45382</v>
      </c>
      <c r="N1836" t="s">
        <v>30</v>
      </c>
      <c r="O1836" t="s">
        <v>44</v>
      </c>
      <c r="P1836" s="54">
        <v>0.178090322879047</v>
      </c>
    </row>
    <row r="1837" spans="1:16">
      <c r="A1837" t="s">
        <v>4384</v>
      </c>
      <c r="B1837" t="s">
        <v>1533</v>
      </c>
      <c r="C1837" t="s">
        <v>4385</v>
      </c>
      <c r="D1837" t="s">
        <v>19</v>
      </c>
      <c r="E1837" t="s">
        <v>20</v>
      </c>
      <c r="F1837" t="s">
        <v>454</v>
      </c>
      <c r="G1837">
        <v>5</v>
      </c>
      <c r="H1837">
        <v>7861.62</v>
      </c>
      <c r="I1837">
        <v>0.05</v>
      </c>
      <c r="J1837">
        <v>37342.69</v>
      </c>
      <c r="K1837">
        <v>7592.21</v>
      </c>
      <c r="L1837">
        <v>4.4</v>
      </c>
      <c r="M1837" s="53">
        <v>45571</v>
      </c>
      <c r="N1837" t="s">
        <v>43</v>
      </c>
      <c r="O1837" t="s">
        <v>23</v>
      </c>
      <c r="P1837" s="54">
        <v>0.203311812834051</v>
      </c>
    </row>
    <row r="1838" spans="1:16">
      <c r="A1838" t="s">
        <v>4386</v>
      </c>
      <c r="B1838" t="s">
        <v>710</v>
      </c>
      <c r="C1838" t="s">
        <v>4387</v>
      </c>
      <c r="D1838" t="s">
        <v>27</v>
      </c>
      <c r="E1838" t="s">
        <v>233</v>
      </c>
      <c r="F1838" t="s">
        <v>362</v>
      </c>
      <c r="G1838">
        <v>4</v>
      </c>
      <c r="H1838">
        <v>6586.34</v>
      </c>
      <c r="I1838">
        <v>0</v>
      </c>
      <c r="J1838">
        <v>26345.36</v>
      </c>
      <c r="K1838">
        <v>1458.86</v>
      </c>
      <c r="L1838">
        <v>1.4</v>
      </c>
      <c r="M1838" s="53">
        <v>45278</v>
      </c>
      <c r="N1838" t="s">
        <v>22</v>
      </c>
      <c r="O1838" t="s">
        <v>31</v>
      </c>
      <c r="P1838" s="54">
        <v>0.0553744568303489</v>
      </c>
    </row>
    <row r="1839" spans="1:16">
      <c r="A1839" t="s">
        <v>4388</v>
      </c>
      <c r="B1839" t="s">
        <v>340</v>
      </c>
      <c r="C1839" t="s">
        <v>4389</v>
      </c>
      <c r="D1839" t="s">
        <v>27</v>
      </c>
      <c r="E1839" t="s">
        <v>28</v>
      </c>
      <c r="F1839" t="s">
        <v>29</v>
      </c>
      <c r="G1839">
        <v>2</v>
      </c>
      <c r="H1839">
        <v>4212.66</v>
      </c>
      <c r="I1839">
        <v>0.1</v>
      </c>
      <c r="J1839">
        <v>7582.79</v>
      </c>
      <c r="K1839">
        <v>1220.42</v>
      </c>
      <c r="L1839">
        <v>1.4</v>
      </c>
      <c r="M1839" s="53">
        <v>44982</v>
      </c>
      <c r="N1839" t="s">
        <v>56</v>
      </c>
      <c r="O1839" t="s">
        <v>73</v>
      </c>
      <c r="P1839" s="54">
        <v>0.160946037012762</v>
      </c>
    </row>
    <row r="1840" spans="1:16">
      <c r="A1840" t="s">
        <v>4390</v>
      </c>
      <c r="B1840" t="s">
        <v>4391</v>
      </c>
      <c r="C1840" t="s">
        <v>2618</v>
      </c>
      <c r="D1840" t="s">
        <v>19</v>
      </c>
      <c r="E1840" t="s">
        <v>35</v>
      </c>
      <c r="F1840" t="s">
        <v>36</v>
      </c>
      <c r="G1840">
        <v>4</v>
      </c>
      <c r="H1840">
        <v>9426.73</v>
      </c>
      <c r="I1840">
        <v>0.1</v>
      </c>
      <c r="J1840">
        <v>33936.23</v>
      </c>
      <c r="K1840">
        <v>2755.64</v>
      </c>
      <c r="L1840">
        <v>1.2</v>
      </c>
      <c r="M1840" s="53">
        <v>45617</v>
      </c>
      <c r="N1840" t="s">
        <v>30</v>
      </c>
      <c r="O1840" t="s">
        <v>73</v>
      </c>
      <c r="P1840" s="54">
        <v>0.0812005340605011</v>
      </c>
    </row>
    <row r="1841" spans="1:16">
      <c r="A1841" t="s">
        <v>4392</v>
      </c>
      <c r="B1841" t="s">
        <v>2030</v>
      </c>
      <c r="C1841" t="s">
        <v>1601</v>
      </c>
      <c r="D1841" t="s">
        <v>27</v>
      </c>
      <c r="E1841" t="s">
        <v>233</v>
      </c>
      <c r="F1841" t="s">
        <v>606</v>
      </c>
      <c r="G1841">
        <v>4</v>
      </c>
      <c r="H1841">
        <v>5197.65</v>
      </c>
      <c r="I1841">
        <v>0.15</v>
      </c>
      <c r="J1841">
        <v>17672.01</v>
      </c>
      <c r="K1841">
        <v>4284.35</v>
      </c>
      <c r="L1841">
        <v>4</v>
      </c>
      <c r="M1841" s="53">
        <v>45514</v>
      </c>
      <c r="N1841" t="s">
        <v>43</v>
      </c>
      <c r="O1841" t="s">
        <v>23</v>
      </c>
      <c r="P1841" s="54">
        <v>0.242437051586096</v>
      </c>
    </row>
    <row r="1842" spans="1:16">
      <c r="A1842" t="s">
        <v>4393</v>
      </c>
      <c r="B1842" t="s">
        <v>51</v>
      </c>
      <c r="C1842" t="s">
        <v>4394</v>
      </c>
      <c r="D1842" t="s">
        <v>19</v>
      </c>
      <c r="E1842" t="s">
        <v>20</v>
      </c>
      <c r="F1842" t="s">
        <v>21</v>
      </c>
      <c r="G1842">
        <v>2</v>
      </c>
      <c r="H1842">
        <v>11628.47</v>
      </c>
      <c r="I1842">
        <v>0.05</v>
      </c>
      <c r="J1842">
        <v>22094.09</v>
      </c>
      <c r="K1842">
        <v>2376.82</v>
      </c>
      <c r="L1842">
        <v>4.4</v>
      </c>
      <c r="M1842" s="53">
        <v>45221</v>
      </c>
      <c r="N1842" t="s">
        <v>56</v>
      </c>
      <c r="O1842" t="s">
        <v>44</v>
      </c>
      <c r="P1842" s="54">
        <v>0.107577184667936</v>
      </c>
    </row>
    <row r="1843" spans="1:16">
      <c r="A1843" t="s">
        <v>4395</v>
      </c>
      <c r="B1843" t="s">
        <v>2678</v>
      </c>
      <c r="C1843" t="s">
        <v>3509</v>
      </c>
      <c r="D1843" t="s">
        <v>40</v>
      </c>
      <c r="E1843" t="s">
        <v>41</v>
      </c>
      <c r="F1843" t="s">
        <v>91</v>
      </c>
      <c r="G1843">
        <v>5</v>
      </c>
      <c r="H1843">
        <v>12984.87</v>
      </c>
      <c r="I1843">
        <v>0.15</v>
      </c>
      <c r="J1843">
        <v>55185.7</v>
      </c>
      <c r="K1843">
        <v>9809.99</v>
      </c>
      <c r="L1843">
        <v>2.1</v>
      </c>
      <c r="M1843" s="53">
        <v>45511</v>
      </c>
      <c r="N1843" t="s">
        <v>22</v>
      </c>
      <c r="O1843" t="s">
        <v>23</v>
      </c>
      <c r="P1843" s="54">
        <v>0.177763261134678</v>
      </c>
    </row>
    <row r="1844" spans="1:16">
      <c r="A1844" t="s">
        <v>4396</v>
      </c>
      <c r="B1844" t="s">
        <v>945</v>
      </c>
      <c r="C1844" t="s">
        <v>4397</v>
      </c>
      <c r="D1844" t="s">
        <v>19</v>
      </c>
      <c r="E1844" t="s">
        <v>20</v>
      </c>
      <c r="F1844" t="s">
        <v>134</v>
      </c>
      <c r="G1844">
        <v>3</v>
      </c>
      <c r="H1844">
        <v>4524.39</v>
      </c>
      <c r="I1844">
        <v>0.2</v>
      </c>
      <c r="J1844">
        <v>10858.54</v>
      </c>
      <c r="K1844">
        <v>1868.5</v>
      </c>
      <c r="L1844">
        <v>1.8</v>
      </c>
      <c r="M1844" s="53">
        <v>45438</v>
      </c>
      <c r="N1844" t="s">
        <v>56</v>
      </c>
      <c r="O1844" t="s">
        <v>31</v>
      </c>
      <c r="P1844" s="54">
        <v>0.172076540676739</v>
      </c>
    </row>
    <row r="1845" spans="1:16">
      <c r="A1845" t="s">
        <v>4398</v>
      </c>
      <c r="B1845" t="s">
        <v>1309</v>
      </c>
      <c r="C1845" t="s">
        <v>4399</v>
      </c>
      <c r="D1845" t="s">
        <v>53</v>
      </c>
      <c r="E1845" t="s">
        <v>54</v>
      </c>
      <c r="F1845" t="s">
        <v>249</v>
      </c>
      <c r="G1845">
        <v>4</v>
      </c>
      <c r="H1845">
        <v>8759.98</v>
      </c>
      <c r="I1845">
        <v>0.1</v>
      </c>
      <c r="J1845">
        <v>31535.93</v>
      </c>
      <c r="K1845">
        <v>5864.17</v>
      </c>
      <c r="L1845">
        <v>1.3</v>
      </c>
      <c r="M1845" s="53">
        <v>44968</v>
      </c>
      <c r="N1845" t="s">
        <v>22</v>
      </c>
      <c r="O1845" t="s">
        <v>31</v>
      </c>
      <c r="P1845" s="54">
        <v>0.185952023612432</v>
      </c>
    </row>
    <row r="1846" spans="1:16">
      <c r="A1846" t="s">
        <v>4400</v>
      </c>
      <c r="B1846" t="s">
        <v>3429</v>
      </c>
      <c r="C1846" t="s">
        <v>4401</v>
      </c>
      <c r="D1846" t="s">
        <v>40</v>
      </c>
      <c r="E1846" t="s">
        <v>174</v>
      </c>
      <c r="F1846" t="s">
        <v>199</v>
      </c>
      <c r="G1846">
        <v>1</v>
      </c>
      <c r="H1846">
        <v>18363.83</v>
      </c>
      <c r="I1846">
        <v>0.15</v>
      </c>
      <c r="J1846">
        <v>15609.26</v>
      </c>
      <c r="K1846">
        <v>3326.1</v>
      </c>
      <c r="L1846">
        <v>1.2</v>
      </c>
      <c r="M1846" s="53">
        <v>45574</v>
      </c>
      <c r="N1846" t="s">
        <v>43</v>
      </c>
      <c r="O1846" t="s">
        <v>73</v>
      </c>
      <c r="P1846" s="54">
        <v>0.213085053359352</v>
      </c>
    </row>
    <row r="1847" spans="1:16">
      <c r="A1847" t="s">
        <v>4402</v>
      </c>
      <c r="B1847" t="s">
        <v>1491</v>
      </c>
      <c r="C1847" t="s">
        <v>4403</v>
      </c>
      <c r="D1847" t="s">
        <v>53</v>
      </c>
      <c r="E1847" t="s">
        <v>54</v>
      </c>
      <c r="F1847" t="s">
        <v>109</v>
      </c>
      <c r="G1847">
        <v>3</v>
      </c>
      <c r="H1847">
        <v>12504.87</v>
      </c>
      <c r="I1847">
        <v>0.1</v>
      </c>
      <c r="J1847">
        <v>33763.15</v>
      </c>
      <c r="K1847">
        <v>3137.1</v>
      </c>
      <c r="L1847">
        <v>2</v>
      </c>
      <c r="M1847" s="53">
        <v>45203</v>
      </c>
      <c r="N1847" t="s">
        <v>30</v>
      </c>
      <c r="O1847" t="s">
        <v>31</v>
      </c>
      <c r="P1847" s="54">
        <v>0.0929149087096435</v>
      </c>
    </row>
    <row r="1848" spans="1:16">
      <c r="A1848" t="s">
        <v>4404</v>
      </c>
      <c r="B1848" t="s">
        <v>1905</v>
      </c>
      <c r="C1848" t="s">
        <v>4405</v>
      </c>
      <c r="D1848" t="s">
        <v>27</v>
      </c>
      <c r="E1848" t="s">
        <v>48</v>
      </c>
      <c r="F1848" t="s">
        <v>77</v>
      </c>
      <c r="G1848">
        <v>1</v>
      </c>
      <c r="H1848">
        <v>4629.06</v>
      </c>
      <c r="I1848">
        <v>0.05</v>
      </c>
      <c r="J1848">
        <v>4397.61</v>
      </c>
      <c r="K1848">
        <v>870.12</v>
      </c>
      <c r="L1848">
        <v>4.1</v>
      </c>
      <c r="M1848" s="53">
        <v>45363</v>
      </c>
      <c r="N1848" t="s">
        <v>43</v>
      </c>
      <c r="O1848" t="s">
        <v>73</v>
      </c>
      <c r="P1848" s="54">
        <v>0.197862020506593</v>
      </c>
    </row>
    <row r="1849" spans="1:16">
      <c r="A1849" t="s">
        <v>4406</v>
      </c>
      <c r="B1849" t="s">
        <v>392</v>
      </c>
      <c r="C1849" t="s">
        <v>4143</v>
      </c>
      <c r="D1849" t="s">
        <v>53</v>
      </c>
      <c r="E1849" t="s">
        <v>54</v>
      </c>
      <c r="F1849" t="s">
        <v>109</v>
      </c>
      <c r="G1849">
        <v>3</v>
      </c>
      <c r="H1849">
        <v>16387.45</v>
      </c>
      <c r="I1849">
        <v>0.05</v>
      </c>
      <c r="J1849">
        <v>46704.23</v>
      </c>
      <c r="K1849">
        <v>5603.65</v>
      </c>
      <c r="L1849">
        <v>3.2</v>
      </c>
      <c r="M1849" s="53">
        <v>45361</v>
      </c>
      <c r="N1849" t="s">
        <v>56</v>
      </c>
      <c r="O1849" t="s">
        <v>57</v>
      </c>
      <c r="P1849" s="54">
        <v>0.119981637637533</v>
      </c>
    </row>
    <row r="1850" spans="1:16">
      <c r="A1850" t="s">
        <v>4407</v>
      </c>
      <c r="B1850" t="s">
        <v>2420</v>
      </c>
      <c r="C1850" t="s">
        <v>4408</v>
      </c>
      <c r="D1850" t="s">
        <v>19</v>
      </c>
      <c r="E1850" t="s">
        <v>20</v>
      </c>
      <c r="F1850" t="s">
        <v>454</v>
      </c>
      <c r="G1850">
        <v>3</v>
      </c>
      <c r="H1850">
        <v>11155.9</v>
      </c>
      <c r="I1850">
        <v>0.05</v>
      </c>
      <c r="J1850">
        <v>31794.31</v>
      </c>
      <c r="K1850">
        <v>6238.7</v>
      </c>
      <c r="L1850">
        <v>3.6</v>
      </c>
      <c r="M1850" s="53">
        <v>45542</v>
      </c>
      <c r="N1850" t="s">
        <v>30</v>
      </c>
      <c r="O1850" t="s">
        <v>73</v>
      </c>
      <c r="P1850" s="54">
        <v>0.196220644511549</v>
      </c>
    </row>
    <row r="1851" spans="1:16">
      <c r="A1851" t="s">
        <v>4409</v>
      </c>
      <c r="B1851" t="s">
        <v>673</v>
      </c>
      <c r="C1851" t="s">
        <v>4410</v>
      </c>
      <c r="D1851" t="s">
        <v>53</v>
      </c>
      <c r="E1851" t="s">
        <v>54</v>
      </c>
      <c r="F1851" t="s">
        <v>258</v>
      </c>
      <c r="G1851">
        <v>4</v>
      </c>
      <c r="H1851">
        <v>18063.29</v>
      </c>
      <c r="I1851">
        <v>0</v>
      </c>
      <c r="J1851">
        <v>72253.16</v>
      </c>
      <c r="K1851">
        <v>6787.58</v>
      </c>
      <c r="L1851">
        <v>2.8</v>
      </c>
      <c r="M1851" s="53">
        <v>45023</v>
      </c>
      <c r="N1851" t="s">
        <v>43</v>
      </c>
      <c r="O1851" t="s">
        <v>44</v>
      </c>
      <c r="P1851" s="54">
        <v>0.0939416352170618</v>
      </c>
    </row>
    <row r="1852" spans="1:16">
      <c r="A1852" t="s">
        <v>4411</v>
      </c>
      <c r="B1852" t="s">
        <v>3066</v>
      </c>
      <c r="C1852" t="s">
        <v>911</v>
      </c>
      <c r="D1852" t="s">
        <v>40</v>
      </c>
      <c r="E1852" t="s">
        <v>174</v>
      </c>
      <c r="F1852" t="s">
        <v>175</v>
      </c>
      <c r="G1852">
        <v>3</v>
      </c>
      <c r="H1852">
        <v>8233.21</v>
      </c>
      <c r="I1852">
        <v>0.2</v>
      </c>
      <c r="J1852">
        <v>19759.7</v>
      </c>
      <c r="K1852">
        <v>2601.58</v>
      </c>
      <c r="L1852">
        <v>3.8</v>
      </c>
      <c r="M1852" s="53">
        <v>45116</v>
      </c>
      <c r="N1852" t="s">
        <v>43</v>
      </c>
      <c r="O1852" t="s">
        <v>44</v>
      </c>
      <c r="P1852" s="54">
        <v>0.131660905782983</v>
      </c>
    </row>
    <row r="1853" spans="1:16">
      <c r="A1853" t="s">
        <v>4412</v>
      </c>
      <c r="B1853" t="s">
        <v>187</v>
      </c>
      <c r="C1853" t="s">
        <v>517</v>
      </c>
      <c r="D1853" t="s">
        <v>40</v>
      </c>
      <c r="E1853" t="s">
        <v>262</v>
      </c>
      <c r="F1853" t="s">
        <v>263</v>
      </c>
      <c r="G1853">
        <v>3</v>
      </c>
      <c r="H1853">
        <v>1055.1</v>
      </c>
      <c r="I1853">
        <v>0.2</v>
      </c>
      <c r="J1853">
        <v>2532.24</v>
      </c>
      <c r="K1853">
        <v>556.76</v>
      </c>
      <c r="L1853">
        <v>2.4</v>
      </c>
      <c r="M1853" s="53">
        <v>45489</v>
      </c>
      <c r="N1853" t="s">
        <v>22</v>
      </c>
      <c r="O1853" t="s">
        <v>73</v>
      </c>
      <c r="P1853" s="54">
        <v>0.219868574858623</v>
      </c>
    </row>
    <row r="1854" spans="1:16">
      <c r="A1854" t="s">
        <v>4413</v>
      </c>
      <c r="B1854" t="s">
        <v>1504</v>
      </c>
      <c r="C1854" t="s">
        <v>4414</v>
      </c>
      <c r="D1854" t="s">
        <v>40</v>
      </c>
      <c r="E1854" t="s">
        <v>262</v>
      </c>
      <c r="F1854" t="s">
        <v>385</v>
      </c>
      <c r="G1854">
        <v>4</v>
      </c>
      <c r="H1854">
        <v>14422.94</v>
      </c>
      <c r="I1854">
        <v>0.1</v>
      </c>
      <c r="J1854">
        <v>51922.58</v>
      </c>
      <c r="K1854">
        <v>2920.5</v>
      </c>
      <c r="L1854">
        <v>2.1</v>
      </c>
      <c r="M1854" s="53">
        <v>45516</v>
      </c>
      <c r="N1854" t="s">
        <v>43</v>
      </c>
      <c r="O1854" t="s">
        <v>31</v>
      </c>
      <c r="P1854" s="54">
        <v>0.0562472049732506</v>
      </c>
    </row>
    <row r="1855" spans="1:16">
      <c r="A1855" t="s">
        <v>4415</v>
      </c>
      <c r="B1855" t="s">
        <v>1631</v>
      </c>
      <c r="C1855" t="s">
        <v>4416</v>
      </c>
      <c r="D1855" t="s">
        <v>40</v>
      </c>
      <c r="E1855" t="s">
        <v>174</v>
      </c>
      <c r="F1855" t="s">
        <v>202</v>
      </c>
      <c r="G1855">
        <v>5</v>
      </c>
      <c r="H1855">
        <v>8541.5</v>
      </c>
      <c r="I1855">
        <v>0.1</v>
      </c>
      <c r="J1855">
        <v>38436.75</v>
      </c>
      <c r="K1855">
        <v>4326.69</v>
      </c>
      <c r="L1855">
        <v>4.8</v>
      </c>
      <c r="M1855" s="53">
        <v>45635</v>
      </c>
      <c r="N1855" t="s">
        <v>22</v>
      </c>
      <c r="O1855" t="s">
        <v>31</v>
      </c>
      <c r="P1855" s="54">
        <v>0.112566489102226</v>
      </c>
    </row>
    <row r="1856" spans="1:16">
      <c r="A1856" t="s">
        <v>4417</v>
      </c>
      <c r="B1856" t="s">
        <v>4418</v>
      </c>
      <c r="C1856" t="s">
        <v>4419</v>
      </c>
      <c r="D1856" t="s">
        <v>27</v>
      </c>
      <c r="E1856" t="s">
        <v>233</v>
      </c>
      <c r="F1856" t="s">
        <v>362</v>
      </c>
      <c r="G1856">
        <v>4</v>
      </c>
      <c r="H1856">
        <v>12446.52</v>
      </c>
      <c r="I1856">
        <v>0.1</v>
      </c>
      <c r="J1856">
        <v>44807.47</v>
      </c>
      <c r="K1856">
        <v>2762.9</v>
      </c>
      <c r="L1856">
        <v>1.9</v>
      </c>
      <c r="M1856" s="53">
        <v>45309</v>
      </c>
      <c r="N1856" t="s">
        <v>43</v>
      </c>
      <c r="O1856" t="s">
        <v>23</v>
      </c>
      <c r="P1856" s="54">
        <v>0.0616615934798372</v>
      </c>
    </row>
    <row r="1857" spans="1:16">
      <c r="A1857" t="s">
        <v>4420</v>
      </c>
      <c r="B1857" t="s">
        <v>3470</v>
      </c>
      <c r="C1857" t="s">
        <v>3475</v>
      </c>
      <c r="D1857" t="s">
        <v>19</v>
      </c>
      <c r="E1857" t="s">
        <v>35</v>
      </c>
      <c r="F1857" t="s">
        <v>245</v>
      </c>
      <c r="G1857">
        <v>4</v>
      </c>
      <c r="H1857">
        <v>6631.45</v>
      </c>
      <c r="I1857">
        <v>0.15</v>
      </c>
      <c r="J1857">
        <v>22546.93</v>
      </c>
      <c r="K1857">
        <v>2018.13</v>
      </c>
      <c r="L1857">
        <v>4.2</v>
      </c>
      <c r="M1857" s="53">
        <v>45403</v>
      </c>
      <c r="N1857" t="s">
        <v>43</v>
      </c>
      <c r="O1857" t="s">
        <v>23</v>
      </c>
      <c r="P1857" s="54">
        <v>0.0895079729258041</v>
      </c>
    </row>
    <row r="1858" spans="1:16">
      <c r="A1858" t="s">
        <v>4421</v>
      </c>
      <c r="B1858" t="s">
        <v>311</v>
      </c>
      <c r="C1858" t="s">
        <v>4422</v>
      </c>
      <c r="D1858" t="s">
        <v>19</v>
      </c>
      <c r="E1858" t="s">
        <v>35</v>
      </c>
      <c r="F1858" t="s">
        <v>121</v>
      </c>
      <c r="G1858">
        <v>3</v>
      </c>
      <c r="H1858">
        <v>10175.02</v>
      </c>
      <c r="I1858">
        <v>0.2</v>
      </c>
      <c r="J1858">
        <v>24420.05</v>
      </c>
      <c r="K1858">
        <v>4240.41</v>
      </c>
      <c r="L1858">
        <v>2.5</v>
      </c>
      <c r="M1858" s="53">
        <v>45423</v>
      </c>
      <c r="N1858" t="s">
        <v>22</v>
      </c>
      <c r="O1858" t="s">
        <v>57</v>
      </c>
      <c r="P1858" s="54">
        <v>0.173644607607273</v>
      </c>
    </row>
    <row r="1859" spans="1:16">
      <c r="A1859" t="s">
        <v>4423</v>
      </c>
      <c r="B1859" t="s">
        <v>1574</v>
      </c>
      <c r="C1859" t="s">
        <v>4424</v>
      </c>
      <c r="D1859" t="s">
        <v>40</v>
      </c>
      <c r="E1859" t="s">
        <v>81</v>
      </c>
      <c r="F1859" t="s">
        <v>241</v>
      </c>
      <c r="G1859">
        <v>1</v>
      </c>
      <c r="H1859">
        <v>15981.14</v>
      </c>
      <c r="I1859">
        <v>0.05</v>
      </c>
      <c r="J1859">
        <v>15182.08</v>
      </c>
      <c r="K1859">
        <v>951.96</v>
      </c>
      <c r="L1859">
        <v>4.8</v>
      </c>
      <c r="M1859" s="53">
        <v>45449</v>
      </c>
      <c r="N1859" t="s">
        <v>43</v>
      </c>
      <c r="O1859" t="s">
        <v>73</v>
      </c>
      <c r="P1859" s="54">
        <v>0.0627028707528876</v>
      </c>
    </row>
    <row r="1860" spans="1:16">
      <c r="A1860" t="s">
        <v>4425</v>
      </c>
      <c r="B1860" t="s">
        <v>411</v>
      </c>
      <c r="C1860" t="s">
        <v>4426</v>
      </c>
      <c r="D1860" t="s">
        <v>53</v>
      </c>
      <c r="E1860" t="s">
        <v>71</v>
      </c>
      <c r="F1860" t="s">
        <v>150</v>
      </c>
      <c r="G1860">
        <v>3</v>
      </c>
      <c r="H1860">
        <v>9528.49</v>
      </c>
      <c r="I1860">
        <v>0.05</v>
      </c>
      <c r="J1860">
        <v>27156.2</v>
      </c>
      <c r="K1860">
        <v>2384.13</v>
      </c>
      <c r="L1860">
        <v>4.8</v>
      </c>
      <c r="M1860" s="53">
        <v>45160</v>
      </c>
      <c r="N1860" t="s">
        <v>43</v>
      </c>
      <c r="O1860" t="s">
        <v>57</v>
      </c>
      <c r="P1860" s="54">
        <v>0.0877932111267408</v>
      </c>
    </row>
    <row r="1861" spans="1:16">
      <c r="A1861" t="s">
        <v>4427</v>
      </c>
      <c r="B1861" t="s">
        <v>857</v>
      </c>
      <c r="C1861" t="s">
        <v>3170</v>
      </c>
      <c r="D1861" t="s">
        <v>27</v>
      </c>
      <c r="E1861" t="s">
        <v>28</v>
      </c>
      <c r="F1861" t="s">
        <v>29</v>
      </c>
      <c r="G1861">
        <v>3</v>
      </c>
      <c r="H1861">
        <v>8274.49</v>
      </c>
      <c r="I1861">
        <v>0.05</v>
      </c>
      <c r="J1861">
        <v>23582.3</v>
      </c>
      <c r="K1861">
        <v>1559.52</v>
      </c>
      <c r="L1861">
        <v>4.2</v>
      </c>
      <c r="M1861" s="53">
        <v>45111</v>
      </c>
      <c r="N1861" t="s">
        <v>43</v>
      </c>
      <c r="O1861" t="s">
        <v>23</v>
      </c>
      <c r="P1861" s="54">
        <v>0.0661309541478143</v>
      </c>
    </row>
    <row r="1862" spans="1:16">
      <c r="A1862" t="s">
        <v>4428</v>
      </c>
      <c r="B1862" t="s">
        <v>1093</v>
      </c>
      <c r="C1862" t="s">
        <v>4429</v>
      </c>
      <c r="D1862" t="s">
        <v>53</v>
      </c>
      <c r="E1862" t="s">
        <v>100</v>
      </c>
      <c r="F1862" t="s">
        <v>101</v>
      </c>
      <c r="G1862">
        <v>1</v>
      </c>
      <c r="H1862">
        <v>8467.87</v>
      </c>
      <c r="I1862">
        <v>0.2</v>
      </c>
      <c r="J1862">
        <v>6774.3</v>
      </c>
      <c r="K1862">
        <v>368.04</v>
      </c>
      <c r="L1862">
        <v>4</v>
      </c>
      <c r="M1862" s="53">
        <v>45068</v>
      </c>
      <c r="N1862" t="s">
        <v>56</v>
      </c>
      <c r="O1862" t="s">
        <v>44</v>
      </c>
      <c r="P1862" s="54">
        <v>0.0543288605464771</v>
      </c>
    </row>
    <row r="1863" spans="1:16">
      <c r="A1863" t="s">
        <v>4430</v>
      </c>
      <c r="B1863" t="s">
        <v>3395</v>
      </c>
      <c r="C1863" t="s">
        <v>1777</v>
      </c>
      <c r="D1863" t="s">
        <v>40</v>
      </c>
      <c r="E1863" t="s">
        <v>81</v>
      </c>
      <c r="F1863" t="s">
        <v>241</v>
      </c>
      <c r="G1863">
        <v>3</v>
      </c>
      <c r="H1863">
        <v>10785.44</v>
      </c>
      <c r="I1863">
        <v>0.05</v>
      </c>
      <c r="J1863">
        <v>30738.5</v>
      </c>
      <c r="K1863">
        <v>6995.17</v>
      </c>
      <c r="L1863">
        <v>2.6</v>
      </c>
      <c r="M1863" s="53">
        <v>45609</v>
      </c>
      <c r="N1863" t="s">
        <v>30</v>
      </c>
      <c r="O1863" t="s">
        <v>44</v>
      </c>
      <c r="P1863" s="54">
        <v>0.227570310847959</v>
      </c>
    </row>
    <row r="1864" spans="1:16">
      <c r="A1864" t="s">
        <v>4431</v>
      </c>
      <c r="B1864" t="s">
        <v>4432</v>
      </c>
      <c r="C1864" t="s">
        <v>4433</v>
      </c>
      <c r="D1864" t="s">
        <v>27</v>
      </c>
      <c r="E1864" t="s">
        <v>48</v>
      </c>
      <c r="F1864" t="s">
        <v>49</v>
      </c>
      <c r="G1864">
        <v>3</v>
      </c>
      <c r="H1864">
        <v>783.67</v>
      </c>
      <c r="I1864">
        <v>0.1</v>
      </c>
      <c r="J1864">
        <v>2115.91</v>
      </c>
      <c r="K1864">
        <v>248.64</v>
      </c>
      <c r="L1864">
        <v>4.7</v>
      </c>
      <c r="M1864" s="53">
        <v>45536</v>
      </c>
      <c r="N1864" t="s">
        <v>22</v>
      </c>
      <c r="O1864" t="s">
        <v>57</v>
      </c>
      <c r="P1864" s="54">
        <v>0.117509723948561</v>
      </c>
    </row>
    <row r="1865" spans="1:16">
      <c r="A1865" t="s">
        <v>4434</v>
      </c>
      <c r="B1865" t="s">
        <v>4004</v>
      </c>
      <c r="C1865" t="s">
        <v>4435</v>
      </c>
      <c r="D1865" t="s">
        <v>40</v>
      </c>
      <c r="E1865" t="s">
        <v>81</v>
      </c>
      <c r="F1865" t="s">
        <v>358</v>
      </c>
      <c r="G1865">
        <v>1</v>
      </c>
      <c r="H1865">
        <v>18890.6</v>
      </c>
      <c r="I1865">
        <v>0.2</v>
      </c>
      <c r="J1865">
        <v>15112.48</v>
      </c>
      <c r="K1865">
        <v>1503.67</v>
      </c>
      <c r="L1865">
        <v>1.1</v>
      </c>
      <c r="M1865" s="53">
        <v>45482</v>
      </c>
      <c r="N1865" t="s">
        <v>22</v>
      </c>
      <c r="O1865" t="s">
        <v>57</v>
      </c>
      <c r="P1865" s="54">
        <v>0.0994985601304352</v>
      </c>
    </row>
    <row r="1866" spans="1:16">
      <c r="A1866" t="s">
        <v>4436</v>
      </c>
      <c r="B1866" t="s">
        <v>4437</v>
      </c>
      <c r="C1866" t="s">
        <v>4438</v>
      </c>
      <c r="D1866" t="s">
        <v>19</v>
      </c>
      <c r="E1866" t="s">
        <v>86</v>
      </c>
      <c r="F1866" t="s">
        <v>182</v>
      </c>
      <c r="G1866">
        <v>5</v>
      </c>
      <c r="H1866">
        <v>10853.58</v>
      </c>
      <c r="I1866">
        <v>0.2</v>
      </c>
      <c r="J1866">
        <v>43414.32</v>
      </c>
      <c r="K1866">
        <v>8930.37</v>
      </c>
      <c r="L1866">
        <v>2.5</v>
      </c>
      <c r="M1866" s="53">
        <v>45350</v>
      </c>
      <c r="N1866" t="s">
        <v>43</v>
      </c>
      <c r="O1866" t="s">
        <v>31</v>
      </c>
      <c r="P1866" s="54">
        <v>0.205701022151216</v>
      </c>
    </row>
    <row r="1867" spans="1:16">
      <c r="A1867" t="s">
        <v>4439</v>
      </c>
      <c r="B1867" t="s">
        <v>2652</v>
      </c>
      <c r="C1867" t="s">
        <v>4440</v>
      </c>
      <c r="D1867" t="s">
        <v>53</v>
      </c>
      <c r="E1867" t="s">
        <v>100</v>
      </c>
      <c r="F1867" t="s">
        <v>271</v>
      </c>
      <c r="G1867">
        <v>3</v>
      </c>
      <c r="H1867">
        <v>15627.46</v>
      </c>
      <c r="I1867">
        <v>0.2</v>
      </c>
      <c r="J1867">
        <v>37505.9</v>
      </c>
      <c r="K1867">
        <v>5842.44</v>
      </c>
      <c r="L1867">
        <v>3.7</v>
      </c>
      <c r="M1867" s="53">
        <v>45193</v>
      </c>
      <c r="N1867" t="s">
        <v>56</v>
      </c>
      <c r="O1867" t="s">
        <v>57</v>
      </c>
      <c r="P1867" s="54">
        <v>0.155773891574392</v>
      </c>
    </row>
    <row r="1868" spans="1:16">
      <c r="A1868" t="s">
        <v>4441</v>
      </c>
      <c r="B1868" t="s">
        <v>4442</v>
      </c>
      <c r="C1868" t="s">
        <v>4443</v>
      </c>
      <c r="D1868" t="s">
        <v>53</v>
      </c>
      <c r="E1868" t="s">
        <v>54</v>
      </c>
      <c r="F1868" t="s">
        <v>55</v>
      </c>
      <c r="G1868">
        <v>1</v>
      </c>
      <c r="H1868">
        <v>12384.79</v>
      </c>
      <c r="I1868">
        <v>0.2</v>
      </c>
      <c r="J1868">
        <v>9907.83</v>
      </c>
      <c r="K1868">
        <v>1040.06</v>
      </c>
      <c r="L1868">
        <v>4.4</v>
      </c>
      <c r="M1868" s="53">
        <v>45446</v>
      </c>
      <c r="N1868" t="s">
        <v>43</v>
      </c>
      <c r="O1868" t="s">
        <v>44</v>
      </c>
      <c r="P1868" s="54">
        <v>0.104973541128582</v>
      </c>
    </row>
    <row r="1869" spans="1:16">
      <c r="A1869" t="s">
        <v>4444</v>
      </c>
      <c r="B1869" t="s">
        <v>3584</v>
      </c>
      <c r="C1869" t="s">
        <v>4445</v>
      </c>
      <c r="D1869" t="s">
        <v>53</v>
      </c>
      <c r="E1869" t="s">
        <v>100</v>
      </c>
      <c r="F1869" t="s">
        <v>229</v>
      </c>
      <c r="G1869">
        <v>5</v>
      </c>
      <c r="H1869">
        <v>19695.42</v>
      </c>
      <c r="I1869">
        <v>0</v>
      </c>
      <c r="J1869">
        <v>98477.1</v>
      </c>
      <c r="K1869">
        <v>10078.73</v>
      </c>
      <c r="L1869">
        <v>3.3</v>
      </c>
      <c r="M1869" s="53">
        <v>45130</v>
      </c>
      <c r="N1869" t="s">
        <v>56</v>
      </c>
      <c r="O1869" t="s">
        <v>73</v>
      </c>
      <c r="P1869" s="54">
        <v>0.10234592610871</v>
      </c>
    </row>
    <row r="1870" spans="1:16">
      <c r="A1870" t="s">
        <v>4446</v>
      </c>
      <c r="B1870" t="s">
        <v>696</v>
      </c>
      <c r="C1870" t="s">
        <v>4447</v>
      </c>
      <c r="D1870" t="s">
        <v>40</v>
      </c>
      <c r="E1870" t="s">
        <v>174</v>
      </c>
      <c r="F1870" t="s">
        <v>175</v>
      </c>
      <c r="G1870">
        <v>4</v>
      </c>
      <c r="H1870">
        <v>9294.33</v>
      </c>
      <c r="I1870">
        <v>0.05</v>
      </c>
      <c r="J1870">
        <v>35318.45</v>
      </c>
      <c r="K1870">
        <v>6743.84</v>
      </c>
      <c r="L1870">
        <v>3.5</v>
      </c>
      <c r="M1870" s="53">
        <v>45552</v>
      </c>
      <c r="N1870" t="s">
        <v>22</v>
      </c>
      <c r="O1870" t="s">
        <v>57</v>
      </c>
      <c r="P1870" s="54">
        <v>0.190943826810067</v>
      </c>
    </row>
    <row r="1871" spans="1:16">
      <c r="A1871" t="s">
        <v>4448</v>
      </c>
      <c r="B1871" t="s">
        <v>69</v>
      </c>
      <c r="C1871" t="s">
        <v>3140</v>
      </c>
      <c r="D1871" t="s">
        <v>53</v>
      </c>
      <c r="E1871" t="s">
        <v>71</v>
      </c>
      <c r="F1871" t="s">
        <v>150</v>
      </c>
      <c r="G1871">
        <v>3</v>
      </c>
      <c r="H1871">
        <v>1260.55</v>
      </c>
      <c r="I1871">
        <v>0.1</v>
      </c>
      <c r="J1871">
        <v>3403.48</v>
      </c>
      <c r="K1871">
        <v>475.88</v>
      </c>
      <c r="L1871">
        <v>4.6</v>
      </c>
      <c r="M1871" s="53">
        <v>45154</v>
      </c>
      <c r="N1871" t="s">
        <v>22</v>
      </c>
      <c r="O1871" t="s">
        <v>23</v>
      </c>
      <c r="P1871" s="54">
        <v>0.139821594368117</v>
      </c>
    </row>
    <row r="1872" spans="1:16">
      <c r="A1872" t="s">
        <v>4449</v>
      </c>
      <c r="B1872" t="s">
        <v>894</v>
      </c>
      <c r="C1872" t="s">
        <v>3635</v>
      </c>
      <c r="D1872" t="s">
        <v>40</v>
      </c>
      <c r="E1872" t="s">
        <v>41</v>
      </c>
      <c r="F1872" t="s">
        <v>91</v>
      </c>
      <c r="G1872">
        <v>3</v>
      </c>
      <c r="H1872">
        <v>9231.83</v>
      </c>
      <c r="I1872">
        <v>0</v>
      </c>
      <c r="J1872">
        <v>27695.49</v>
      </c>
      <c r="K1872">
        <v>3215.63</v>
      </c>
      <c r="L1872">
        <v>2.7</v>
      </c>
      <c r="M1872" s="53">
        <v>44958</v>
      </c>
      <c r="N1872" t="s">
        <v>22</v>
      </c>
      <c r="O1872" t="s">
        <v>57</v>
      </c>
      <c r="P1872" s="54">
        <v>0.116106629635367</v>
      </c>
    </row>
    <row r="1873" spans="1:16">
      <c r="A1873" t="s">
        <v>4450</v>
      </c>
      <c r="B1873" t="s">
        <v>809</v>
      </c>
      <c r="C1873" t="s">
        <v>4451</v>
      </c>
      <c r="D1873" t="s">
        <v>27</v>
      </c>
      <c r="E1873" t="s">
        <v>233</v>
      </c>
      <c r="F1873" t="s">
        <v>665</v>
      </c>
      <c r="G1873">
        <v>4</v>
      </c>
      <c r="H1873">
        <v>13912.04</v>
      </c>
      <c r="I1873">
        <v>0.05</v>
      </c>
      <c r="J1873">
        <v>52865.75</v>
      </c>
      <c r="K1873">
        <v>9032.99</v>
      </c>
      <c r="L1873">
        <v>3</v>
      </c>
      <c r="M1873" s="53">
        <v>45083</v>
      </c>
      <c r="N1873" t="s">
        <v>30</v>
      </c>
      <c r="O1873" t="s">
        <v>73</v>
      </c>
      <c r="P1873" s="54">
        <v>0.170866581860657</v>
      </c>
    </row>
    <row r="1874" spans="1:16">
      <c r="A1874" t="s">
        <v>4452</v>
      </c>
      <c r="B1874" t="s">
        <v>1281</v>
      </c>
      <c r="C1874" t="s">
        <v>2751</v>
      </c>
      <c r="D1874" t="s">
        <v>53</v>
      </c>
      <c r="E1874" t="s">
        <v>100</v>
      </c>
      <c r="F1874" t="s">
        <v>101</v>
      </c>
      <c r="G1874">
        <v>2</v>
      </c>
      <c r="H1874">
        <v>732.8</v>
      </c>
      <c r="I1874">
        <v>0.05</v>
      </c>
      <c r="J1874">
        <v>1392.32</v>
      </c>
      <c r="K1874">
        <v>223.73</v>
      </c>
      <c r="L1874">
        <v>3.5</v>
      </c>
      <c r="M1874" s="53">
        <v>45463</v>
      </c>
      <c r="N1874" t="s">
        <v>30</v>
      </c>
      <c r="O1874" t="s">
        <v>57</v>
      </c>
      <c r="P1874" s="54">
        <v>0.160688634796599</v>
      </c>
    </row>
    <row r="1875" spans="1:16">
      <c r="A1875" t="s">
        <v>4453</v>
      </c>
      <c r="B1875" t="s">
        <v>1507</v>
      </c>
      <c r="C1875" t="s">
        <v>4454</v>
      </c>
      <c r="D1875" t="s">
        <v>53</v>
      </c>
      <c r="E1875" t="s">
        <v>71</v>
      </c>
      <c r="F1875" t="s">
        <v>406</v>
      </c>
      <c r="G1875">
        <v>4</v>
      </c>
      <c r="H1875">
        <v>429.63</v>
      </c>
      <c r="I1875">
        <v>0.05</v>
      </c>
      <c r="J1875">
        <v>1632.59</v>
      </c>
      <c r="K1875">
        <v>403.56</v>
      </c>
      <c r="L1875">
        <v>1.4</v>
      </c>
      <c r="M1875" s="53">
        <v>45321</v>
      </c>
      <c r="N1875" t="s">
        <v>30</v>
      </c>
      <c r="O1875" t="s">
        <v>73</v>
      </c>
      <c r="P1875" s="54">
        <v>0.247190047715593</v>
      </c>
    </row>
    <row r="1876" spans="1:16">
      <c r="A1876" t="s">
        <v>4455</v>
      </c>
      <c r="B1876" t="s">
        <v>4456</v>
      </c>
      <c r="C1876" t="s">
        <v>1756</v>
      </c>
      <c r="D1876" t="s">
        <v>53</v>
      </c>
      <c r="E1876" t="s">
        <v>71</v>
      </c>
      <c r="F1876" t="s">
        <v>406</v>
      </c>
      <c r="G1876">
        <v>5</v>
      </c>
      <c r="H1876">
        <v>14353.29</v>
      </c>
      <c r="I1876">
        <v>0.15</v>
      </c>
      <c r="J1876">
        <v>61001.48</v>
      </c>
      <c r="K1876">
        <v>12713.7</v>
      </c>
      <c r="L1876">
        <v>2.9</v>
      </c>
      <c r="M1876" s="53">
        <v>45087</v>
      </c>
      <c r="N1876" t="s">
        <v>43</v>
      </c>
      <c r="O1876" t="s">
        <v>57</v>
      </c>
      <c r="P1876" s="54">
        <v>0.208416254818735</v>
      </c>
    </row>
    <row r="1877" spans="1:16">
      <c r="A1877" t="s">
        <v>4457</v>
      </c>
      <c r="B1877" t="s">
        <v>948</v>
      </c>
      <c r="C1877" t="s">
        <v>2948</v>
      </c>
      <c r="D1877" t="s">
        <v>40</v>
      </c>
      <c r="E1877" t="s">
        <v>262</v>
      </c>
      <c r="F1877" t="s">
        <v>385</v>
      </c>
      <c r="G1877">
        <v>4</v>
      </c>
      <c r="H1877">
        <v>8064.72</v>
      </c>
      <c r="I1877">
        <v>0.1</v>
      </c>
      <c r="J1877">
        <v>29032.99</v>
      </c>
      <c r="K1877">
        <v>6487.31</v>
      </c>
      <c r="L1877">
        <v>1.8</v>
      </c>
      <c r="M1877" s="53">
        <v>45159</v>
      </c>
      <c r="N1877" t="s">
        <v>43</v>
      </c>
      <c r="O1877" t="s">
        <v>31</v>
      </c>
      <c r="P1877" s="54">
        <v>0.223446155563034</v>
      </c>
    </row>
    <row r="1878" spans="1:16">
      <c r="A1878" t="s">
        <v>4458</v>
      </c>
      <c r="B1878" t="s">
        <v>4459</v>
      </c>
      <c r="C1878" t="s">
        <v>3734</v>
      </c>
      <c r="D1878" t="s">
        <v>19</v>
      </c>
      <c r="E1878" t="s">
        <v>20</v>
      </c>
      <c r="F1878" t="s">
        <v>21</v>
      </c>
      <c r="G1878">
        <v>1</v>
      </c>
      <c r="H1878">
        <v>12759.89</v>
      </c>
      <c r="I1878">
        <v>0.15</v>
      </c>
      <c r="J1878">
        <v>10845.91</v>
      </c>
      <c r="K1878">
        <v>2086.31</v>
      </c>
      <c r="L1878">
        <v>2.8</v>
      </c>
      <c r="M1878" s="53">
        <v>45075</v>
      </c>
      <c r="N1878" t="s">
        <v>30</v>
      </c>
      <c r="O1878" t="s">
        <v>23</v>
      </c>
      <c r="P1878" s="54">
        <v>0.192359147365228</v>
      </c>
    </row>
    <row r="1879" spans="1:16">
      <c r="A1879" t="s">
        <v>4460</v>
      </c>
      <c r="B1879" t="s">
        <v>4461</v>
      </c>
      <c r="C1879" t="s">
        <v>4462</v>
      </c>
      <c r="D1879" t="s">
        <v>53</v>
      </c>
      <c r="E1879" t="s">
        <v>100</v>
      </c>
      <c r="F1879" t="s">
        <v>267</v>
      </c>
      <c r="G1879">
        <v>2</v>
      </c>
      <c r="H1879">
        <v>10229.98</v>
      </c>
      <c r="I1879">
        <v>0.05</v>
      </c>
      <c r="J1879">
        <v>19436.96</v>
      </c>
      <c r="K1879">
        <v>1498.72</v>
      </c>
      <c r="L1879">
        <v>2.5</v>
      </c>
      <c r="M1879" s="53">
        <v>45030</v>
      </c>
      <c r="N1879" t="s">
        <v>30</v>
      </c>
      <c r="O1879" t="s">
        <v>44</v>
      </c>
      <c r="P1879" s="54">
        <v>0.0771067080448795</v>
      </c>
    </row>
    <row r="1880" spans="1:16">
      <c r="A1880" t="s">
        <v>4463</v>
      </c>
      <c r="B1880" t="s">
        <v>848</v>
      </c>
      <c r="C1880" t="s">
        <v>4464</v>
      </c>
      <c r="D1880" t="s">
        <v>53</v>
      </c>
      <c r="E1880" t="s">
        <v>54</v>
      </c>
      <c r="F1880" t="s">
        <v>249</v>
      </c>
      <c r="G1880">
        <v>4</v>
      </c>
      <c r="H1880">
        <v>4808.43</v>
      </c>
      <c r="I1880">
        <v>0</v>
      </c>
      <c r="J1880">
        <v>19233.72</v>
      </c>
      <c r="K1880">
        <v>3643.52</v>
      </c>
      <c r="L1880">
        <v>3.3</v>
      </c>
      <c r="M1880" s="53">
        <v>45061</v>
      </c>
      <c r="N1880" t="s">
        <v>43</v>
      </c>
      <c r="O1880" t="s">
        <v>44</v>
      </c>
      <c r="P1880" s="54">
        <v>0.189433973251144</v>
      </c>
    </row>
    <row r="1881" spans="1:16">
      <c r="A1881" t="s">
        <v>4465</v>
      </c>
      <c r="B1881" t="s">
        <v>510</v>
      </c>
      <c r="C1881" t="s">
        <v>4466</v>
      </c>
      <c r="D1881" t="s">
        <v>53</v>
      </c>
      <c r="E1881" t="s">
        <v>54</v>
      </c>
      <c r="F1881" t="s">
        <v>109</v>
      </c>
      <c r="G1881">
        <v>4</v>
      </c>
      <c r="H1881">
        <v>19314.6</v>
      </c>
      <c r="I1881">
        <v>0</v>
      </c>
      <c r="J1881">
        <v>77258.4</v>
      </c>
      <c r="K1881">
        <v>18152.95</v>
      </c>
      <c r="L1881">
        <v>2.6</v>
      </c>
      <c r="M1881" s="53">
        <v>45190</v>
      </c>
      <c r="N1881" t="s">
        <v>43</v>
      </c>
      <c r="O1881" t="s">
        <v>31</v>
      </c>
      <c r="P1881" s="54">
        <v>0.234964094519172</v>
      </c>
    </row>
    <row r="1882" spans="1:16">
      <c r="A1882" t="s">
        <v>4467</v>
      </c>
      <c r="B1882" t="s">
        <v>513</v>
      </c>
      <c r="C1882" t="s">
        <v>2199</v>
      </c>
      <c r="D1882" t="s">
        <v>27</v>
      </c>
      <c r="E1882" t="s">
        <v>233</v>
      </c>
      <c r="F1882" t="s">
        <v>606</v>
      </c>
      <c r="G1882">
        <v>1</v>
      </c>
      <c r="H1882">
        <v>7346.39</v>
      </c>
      <c r="I1882">
        <v>0.2</v>
      </c>
      <c r="J1882">
        <v>5877.11</v>
      </c>
      <c r="K1882">
        <v>555.49</v>
      </c>
      <c r="L1882">
        <v>4.4</v>
      </c>
      <c r="M1882" s="53">
        <v>45406</v>
      </c>
      <c r="N1882" t="s">
        <v>22</v>
      </c>
      <c r="O1882" t="s">
        <v>31</v>
      </c>
      <c r="P1882" s="54">
        <v>0.0945175434865096</v>
      </c>
    </row>
    <row r="1883" spans="1:16">
      <c r="A1883" t="s">
        <v>4468</v>
      </c>
      <c r="B1883" t="s">
        <v>648</v>
      </c>
      <c r="C1883" t="s">
        <v>716</v>
      </c>
      <c r="D1883" t="s">
        <v>19</v>
      </c>
      <c r="E1883" t="s">
        <v>86</v>
      </c>
      <c r="F1883" t="s">
        <v>182</v>
      </c>
      <c r="G1883">
        <v>2</v>
      </c>
      <c r="H1883">
        <v>9464.9</v>
      </c>
      <c r="I1883">
        <v>0</v>
      </c>
      <c r="J1883">
        <v>18929.8</v>
      </c>
      <c r="K1883">
        <v>2837.47</v>
      </c>
      <c r="L1883">
        <v>1.9</v>
      </c>
      <c r="M1883" s="53">
        <v>45131</v>
      </c>
      <c r="N1883" t="s">
        <v>22</v>
      </c>
      <c r="O1883" t="s">
        <v>73</v>
      </c>
      <c r="P1883" s="54">
        <v>0.149894346480153</v>
      </c>
    </row>
    <row r="1884" spans="1:16">
      <c r="A1884" t="s">
        <v>4469</v>
      </c>
      <c r="B1884" t="s">
        <v>4470</v>
      </c>
      <c r="C1884" t="s">
        <v>4471</v>
      </c>
      <c r="D1884" t="s">
        <v>53</v>
      </c>
      <c r="E1884" t="s">
        <v>95</v>
      </c>
      <c r="F1884" t="s">
        <v>96</v>
      </c>
      <c r="G1884">
        <v>2</v>
      </c>
      <c r="H1884">
        <v>9643.53</v>
      </c>
      <c r="I1884">
        <v>0.15</v>
      </c>
      <c r="J1884">
        <v>16394</v>
      </c>
      <c r="K1884">
        <v>3450.6</v>
      </c>
      <c r="L1884">
        <v>4.2</v>
      </c>
      <c r="M1884" s="53">
        <v>45644</v>
      </c>
      <c r="N1884" t="s">
        <v>30</v>
      </c>
      <c r="O1884" t="s">
        <v>73</v>
      </c>
      <c r="P1884" s="54">
        <v>0.210479443698914</v>
      </c>
    </row>
    <row r="1885" spans="1:16">
      <c r="A1885" t="s">
        <v>4472</v>
      </c>
      <c r="B1885" t="s">
        <v>1685</v>
      </c>
      <c r="C1885" t="s">
        <v>4473</v>
      </c>
      <c r="D1885" t="s">
        <v>19</v>
      </c>
      <c r="E1885" t="s">
        <v>129</v>
      </c>
      <c r="F1885" t="s">
        <v>167</v>
      </c>
      <c r="G1885">
        <v>4</v>
      </c>
      <c r="H1885">
        <v>9962.09</v>
      </c>
      <c r="I1885">
        <v>0.1</v>
      </c>
      <c r="J1885">
        <v>35863.52</v>
      </c>
      <c r="K1885">
        <v>2145.14</v>
      </c>
      <c r="L1885">
        <v>3.5</v>
      </c>
      <c r="M1885" s="53">
        <v>45099</v>
      </c>
      <c r="N1885" t="s">
        <v>30</v>
      </c>
      <c r="O1885" t="s">
        <v>23</v>
      </c>
      <c r="P1885" s="54">
        <v>0.0598139836803526</v>
      </c>
    </row>
    <row r="1886" spans="1:16">
      <c r="A1886" t="s">
        <v>4474</v>
      </c>
      <c r="B1886" t="s">
        <v>1354</v>
      </c>
      <c r="C1886" t="s">
        <v>4475</v>
      </c>
      <c r="D1886" t="s">
        <v>53</v>
      </c>
      <c r="E1886" t="s">
        <v>54</v>
      </c>
      <c r="F1886" t="s">
        <v>109</v>
      </c>
      <c r="G1886">
        <v>3</v>
      </c>
      <c r="H1886">
        <v>13595.35</v>
      </c>
      <c r="I1886">
        <v>0.15</v>
      </c>
      <c r="J1886">
        <v>34668.14</v>
      </c>
      <c r="K1886">
        <v>8114.45</v>
      </c>
      <c r="L1886">
        <v>1.9</v>
      </c>
      <c r="M1886" s="53">
        <v>45430</v>
      </c>
      <c r="N1886" t="s">
        <v>30</v>
      </c>
      <c r="O1886" t="s">
        <v>31</v>
      </c>
      <c r="P1886" s="54">
        <v>0.234060725496089</v>
      </c>
    </row>
    <row r="1887" spans="1:16">
      <c r="A1887" t="s">
        <v>4476</v>
      </c>
      <c r="B1887" t="s">
        <v>162</v>
      </c>
      <c r="C1887" t="s">
        <v>4477</v>
      </c>
      <c r="D1887" t="s">
        <v>27</v>
      </c>
      <c r="E1887" t="s">
        <v>117</v>
      </c>
      <c r="F1887" t="s">
        <v>192</v>
      </c>
      <c r="G1887">
        <v>2</v>
      </c>
      <c r="H1887">
        <v>14012.88</v>
      </c>
      <c r="I1887">
        <v>0</v>
      </c>
      <c r="J1887">
        <v>28025.76</v>
      </c>
      <c r="K1887">
        <v>3977.38</v>
      </c>
      <c r="L1887">
        <v>1.4</v>
      </c>
      <c r="M1887" s="53">
        <v>45319</v>
      </c>
      <c r="N1887" t="s">
        <v>43</v>
      </c>
      <c r="O1887" t="s">
        <v>31</v>
      </c>
      <c r="P1887" s="54">
        <v>0.141918720491434</v>
      </c>
    </row>
    <row r="1888" spans="1:16">
      <c r="A1888" t="s">
        <v>4478</v>
      </c>
      <c r="B1888" t="s">
        <v>1199</v>
      </c>
      <c r="C1888" t="s">
        <v>4479</v>
      </c>
      <c r="D1888" t="s">
        <v>27</v>
      </c>
      <c r="E1888" t="s">
        <v>48</v>
      </c>
      <c r="F1888" t="s">
        <v>583</v>
      </c>
      <c r="G1888">
        <v>3</v>
      </c>
      <c r="H1888">
        <v>5779.65</v>
      </c>
      <c r="I1888">
        <v>0.15</v>
      </c>
      <c r="J1888">
        <v>14738.11</v>
      </c>
      <c r="K1888">
        <v>3279.61</v>
      </c>
      <c r="L1888">
        <v>5</v>
      </c>
      <c r="M1888" s="53">
        <v>45307</v>
      </c>
      <c r="N1888" t="s">
        <v>30</v>
      </c>
      <c r="O1888" t="s">
        <v>73</v>
      </c>
      <c r="P1888" s="54">
        <v>0.222525819117919</v>
      </c>
    </row>
    <row r="1889" spans="1:16">
      <c r="A1889" t="s">
        <v>4480</v>
      </c>
      <c r="B1889" t="s">
        <v>260</v>
      </c>
      <c r="C1889" t="s">
        <v>4282</v>
      </c>
      <c r="D1889" t="s">
        <v>53</v>
      </c>
      <c r="E1889" t="s">
        <v>95</v>
      </c>
      <c r="F1889" t="s">
        <v>524</v>
      </c>
      <c r="G1889">
        <v>1</v>
      </c>
      <c r="H1889">
        <v>1139.08</v>
      </c>
      <c r="I1889">
        <v>0.15</v>
      </c>
      <c r="J1889">
        <v>968.22</v>
      </c>
      <c r="K1889">
        <v>139.86</v>
      </c>
      <c r="L1889">
        <v>4.1</v>
      </c>
      <c r="M1889" s="53">
        <v>45439</v>
      </c>
      <c r="N1889" t="s">
        <v>43</v>
      </c>
      <c r="O1889" t="s">
        <v>57</v>
      </c>
      <c r="P1889" s="54">
        <v>0.144450641383157</v>
      </c>
    </row>
    <row r="1890" spans="1:16">
      <c r="A1890" t="s">
        <v>4481</v>
      </c>
      <c r="B1890" t="s">
        <v>4482</v>
      </c>
      <c r="C1890" t="s">
        <v>4483</v>
      </c>
      <c r="D1890" t="s">
        <v>19</v>
      </c>
      <c r="E1890" t="s">
        <v>35</v>
      </c>
      <c r="F1890" t="s">
        <v>245</v>
      </c>
      <c r="G1890">
        <v>3</v>
      </c>
      <c r="H1890">
        <v>11092.05</v>
      </c>
      <c r="I1890">
        <v>0</v>
      </c>
      <c r="J1890">
        <v>33276.15</v>
      </c>
      <c r="K1890">
        <v>4757.54</v>
      </c>
      <c r="L1890">
        <v>2.8</v>
      </c>
      <c r="M1890" s="53">
        <v>45311</v>
      </c>
      <c r="N1890" t="s">
        <v>30</v>
      </c>
      <c r="O1890" t="s">
        <v>73</v>
      </c>
      <c r="P1890" s="54">
        <v>0.142971467552586</v>
      </c>
    </row>
    <row r="1891" spans="1:16">
      <c r="A1891" t="s">
        <v>4484</v>
      </c>
      <c r="B1891" t="s">
        <v>2859</v>
      </c>
      <c r="C1891" t="s">
        <v>4485</v>
      </c>
      <c r="D1891" t="s">
        <v>53</v>
      </c>
      <c r="E1891" t="s">
        <v>95</v>
      </c>
      <c r="F1891" t="s">
        <v>306</v>
      </c>
      <c r="G1891">
        <v>4</v>
      </c>
      <c r="H1891">
        <v>2998.65</v>
      </c>
      <c r="I1891">
        <v>0.05</v>
      </c>
      <c r="J1891">
        <v>11394.87</v>
      </c>
      <c r="K1891">
        <v>2451.49</v>
      </c>
      <c r="L1891">
        <v>4.9</v>
      </c>
      <c r="M1891" s="53">
        <v>45456</v>
      </c>
      <c r="N1891" t="s">
        <v>43</v>
      </c>
      <c r="O1891" t="s">
        <v>23</v>
      </c>
      <c r="P1891" s="54">
        <v>0.215139795364054</v>
      </c>
    </row>
    <row r="1892" spans="1:16">
      <c r="A1892" t="s">
        <v>4486</v>
      </c>
      <c r="B1892" t="s">
        <v>1563</v>
      </c>
      <c r="C1892" t="s">
        <v>4487</v>
      </c>
      <c r="D1892" t="s">
        <v>53</v>
      </c>
      <c r="E1892" t="s">
        <v>100</v>
      </c>
      <c r="F1892" t="s">
        <v>267</v>
      </c>
      <c r="G1892">
        <v>4</v>
      </c>
      <c r="H1892">
        <v>10907.47</v>
      </c>
      <c r="I1892">
        <v>0.2</v>
      </c>
      <c r="J1892">
        <v>34903.9</v>
      </c>
      <c r="K1892">
        <v>4048.66</v>
      </c>
      <c r="L1892">
        <v>2.3</v>
      </c>
      <c r="M1892" s="53">
        <v>45532</v>
      </c>
      <c r="N1892" t="s">
        <v>43</v>
      </c>
      <c r="O1892" t="s">
        <v>73</v>
      </c>
      <c r="P1892" s="54">
        <v>0.115994487722002</v>
      </c>
    </row>
    <row r="1893" spans="1:16">
      <c r="A1893" t="s">
        <v>4488</v>
      </c>
      <c r="B1893" t="s">
        <v>1465</v>
      </c>
      <c r="C1893" t="s">
        <v>4489</v>
      </c>
      <c r="D1893" t="s">
        <v>19</v>
      </c>
      <c r="E1893" t="s">
        <v>86</v>
      </c>
      <c r="F1893" t="s">
        <v>182</v>
      </c>
      <c r="G1893">
        <v>2</v>
      </c>
      <c r="H1893">
        <v>6063.4</v>
      </c>
      <c r="I1893">
        <v>0</v>
      </c>
      <c r="J1893">
        <v>12126.8</v>
      </c>
      <c r="K1893">
        <v>2894</v>
      </c>
      <c r="L1893">
        <v>2.7</v>
      </c>
      <c r="M1893" s="53">
        <v>45447</v>
      </c>
      <c r="N1893" t="s">
        <v>43</v>
      </c>
      <c r="O1893" t="s">
        <v>44</v>
      </c>
      <c r="P1893" s="54">
        <v>0.238644984662071</v>
      </c>
    </row>
    <row r="1894" spans="1:16">
      <c r="A1894" t="s">
        <v>4490</v>
      </c>
      <c r="B1894" t="s">
        <v>886</v>
      </c>
      <c r="C1894" t="s">
        <v>4051</v>
      </c>
      <c r="D1894" t="s">
        <v>27</v>
      </c>
      <c r="E1894" t="s">
        <v>48</v>
      </c>
      <c r="F1894" t="s">
        <v>583</v>
      </c>
      <c r="G1894">
        <v>2</v>
      </c>
      <c r="H1894">
        <v>19220.66</v>
      </c>
      <c r="I1894">
        <v>0.15</v>
      </c>
      <c r="J1894">
        <v>32675.12</v>
      </c>
      <c r="K1894">
        <v>4175.31</v>
      </c>
      <c r="L1894">
        <v>2.2</v>
      </c>
      <c r="M1894" s="53">
        <v>45255</v>
      </c>
      <c r="N1894" t="s">
        <v>43</v>
      </c>
      <c r="O1894" t="s">
        <v>23</v>
      </c>
      <c r="P1894" s="54">
        <v>0.127782545251555</v>
      </c>
    </row>
    <row r="1895" spans="1:16">
      <c r="A1895" t="s">
        <v>4491</v>
      </c>
      <c r="B1895" t="s">
        <v>2984</v>
      </c>
      <c r="C1895" t="s">
        <v>367</v>
      </c>
      <c r="D1895" t="s">
        <v>53</v>
      </c>
      <c r="E1895" t="s">
        <v>100</v>
      </c>
      <c r="F1895" t="s">
        <v>101</v>
      </c>
      <c r="G1895">
        <v>5</v>
      </c>
      <c r="H1895">
        <v>3750.37</v>
      </c>
      <c r="I1895">
        <v>0.15</v>
      </c>
      <c r="J1895">
        <v>15939.07</v>
      </c>
      <c r="K1895">
        <v>3594.51</v>
      </c>
      <c r="L1895">
        <v>4.4</v>
      </c>
      <c r="M1895" s="53">
        <v>45363</v>
      </c>
      <c r="N1895" t="s">
        <v>30</v>
      </c>
      <c r="O1895" t="s">
        <v>73</v>
      </c>
      <c r="P1895" s="54">
        <v>0.225515666848819</v>
      </c>
    </row>
    <row r="1896" spans="1:16">
      <c r="A1896" t="s">
        <v>4492</v>
      </c>
      <c r="B1896" t="s">
        <v>265</v>
      </c>
      <c r="C1896" t="s">
        <v>4493</v>
      </c>
      <c r="D1896" t="s">
        <v>19</v>
      </c>
      <c r="E1896" t="s">
        <v>20</v>
      </c>
      <c r="F1896" t="s">
        <v>134</v>
      </c>
      <c r="G1896">
        <v>5</v>
      </c>
      <c r="H1896">
        <v>1980.93</v>
      </c>
      <c r="I1896">
        <v>0.05</v>
      </c>
      <c r="J1896">
        <v>9409.42</v>
      </c>
      <c r="K1896">
        <v>1042.31</v>
      </c>
      <c r="L1896">
        <v>1.1</v>
      </c>
      <c r="M1896" s="53">
        <v>45421</v>
      </c>
      <c r="N1896" t="s">
        <v>22</v>
      </c>
      <c r="O1896" t="s">
        <v>57</v>
      </c>
      <c r="P1896" s="54">
        <v>0.110773033832053</v>
      </c>
    </row>
    <row r="1897" spans="1:16">
      <c r="A1897" t="s">
        <v>4494</v>
      </c>
      <c r="B1897" t="s">
        <v>491</v>
      </c>
      <c r="C1897" t="s">
        <v>1327</v>
      </c>
      <c r="D1897" t="s">
        <v>53</v>
      </c>
      <c r="E1897" t="s">
        <v>100</v>
      </c>
      <c r="F1897" t="s">
        <v>229</v>
      </c>
      <c r="G1897">
        <v>3</v>
      </c>
      <c r="H1897">
        <v>1352.72</v>
      </c>
      <c r="I1897">
        <v>0.05</v>
      </c>
      <c r="J1897">
        <v>3855.25</v>
      </c>
      <c r="K1897">
        <v>953.48</v>
      </c>
      <c r="L1897">
        <v>2.1</v>
      </c>
      <c r="M1897" s="53">
        <v>44998</v>
      </c>
      <c r="N1897" t="s">
        <v>22</v>
      </c>
      <c r="O1897" t="s">
        <v>44</v>
      </c>
      <c r="P1897" s="54">
        <v>0.247319888463783</v>
      </c>
    </row>
    <row r="1898" spans="1:16">
      <c r="A1898" t="s">
        <v>4495</v>
      </c>
      <c r="B1898" t="s">
        <v>3090</v>
      </c>
      <c r="C1898" t="s">
        <v>4496</v>
      </c>
      <c r="D1898" t="s">
        <v>27</v>
      </c>
      <c r="E1898" t="s">
        <v>117</v>
      </c>
      <c r="F1898" t="s">
        <v>225</v>
      </c>
      <c r="G1898">
        <v>2</v>
      </c>
      <c r="H1898">
        <v>17390.64</v>
      </c>
      <c r="I1898">
        <v>0.1</v>
      </c>
      <c r="J1898">
        <v>31303.15</v>
      </c>
      <c r="K1898">
        <v>1705.99</v>
      </c>
      <c r="L1898">
        <v>3.3</v>
      </c>
      <c r="M1898" s="53">
        <v>45389</v>
      </c>
      <c r="N1898" t="s">
        <v>22</v>
      </c>
      <c r="O1898" t="s">
        <v>73</v>
      </c>
      <c r="P1898" s="54">
        <v>0.0544989881210038</v>
      </c>
    </row>
    <row r="1899" spans="1:16">
      <c r="A1899" t="s">
        <v>4497</v>
      </c>
      <c r="B1899" t="s">
        <v>4040</v>
      </c>
      <c r="C1899" t="s">
        <v>4498</v>
      </c>
      <c r="D1899" t="s">
        <v>27</v>
      </c>
      <c r="E1899" t="s">
        <v>48</v>
      </c>
      <c r="F1899" t="s">
        <v>64</v>
      </c>
      <c r="G1899">
        <v>4</v>
      </c>
      <c r="H1899">
        <v>9764.24</v>
      </c>
      <c r="I1899">
        <v>0.1</v>
      </c>
      <c r="J1899">
        <v>35151.26</v>
      </c>
      <c r="K1899">
        <v>5777.26</v>
      </c>
      <c r="L1899">
        <v>3.6</v>
      </c>
      <c r="M1899" s="53">
        <v>45317</v>
      </c>
      <c r="N1899" t="s">
        <v>56</v>
      </c>
      <c r="O1899" t="s">
        <v>57</v>
      </c>
      <c r="P1899" s="54">
        <v>0.164354279192268</v>
      </c>
    </row>
    <row r="1900" spans="1:16">
      <c r="A1900" t="s">
        <v>4499</v>
      </c>
      <c r="B1900" t="s">
        <v>46</v>
      </c>
      <c r="C1900" t="s">
        <v>4500</v>
      </c>
      <c r="D1900" t="s">
        <v>27</v>
      </c>
      <c r="E1900" t="s">
        <v>28</v>
      </c>
      <c r="F1900" t="s">
        <v>225</v>
      </c>
      <c r="G1900">
        <v>5</v>
      </c>
      <c r="H1900">
        <v>6262.69</v>
      </c>
      <c r="I1900">
        <v>0.2</v>
      </c>
      <c r="J1900">
        <v>25050.76</v>
      </c>
      <c r="K1900">
        <v>3101.88</v>
      </c>
      <c r="L1900">
        <v>4.3</v>
      </c>
      <c r="M1900" s="53">
        <v>45257</v>
      </c>
      <c r="N1900" t="s">
        <v>43</v>
      </c>
      <c r="O1900" t="s">
        <v>23</v>
      </c>
      <c r="P1900" s="54">
        <v>0.123823788180478</v>
      </c>
    </row>
    <row r="1901" spans="1:16">
      <c r="A1901" t="s">
        <v>4501</v>
      </c>
      <c r="B1901" t="s">
        <v>4502</v>
      </c>
      <c r="C1901" t="s">
        <v>3818</v>
      </c>
      <c r="D1901" t="s">
        <v>40</v>
      </c>
      <c r="E1901" t="s">
        <v>262</v>
      </c>
      <c r="F1901" t="s">
        <v>385</v>
      </c>
      <c r="G1901">
        <v>5</v>
      </c>
      <c r="H1901">
        <v>8106.25</v>
      </c>
      <c r="I1901">
        <v>0.05</v>
      </c>
      <c r="J1901">
        <v>38504.69</v>
      </c>
      <c r="K1901">
        <v>5096.3</v>
      </c>
      <c r="L1901">
        <v>2.7</v>
      </c>
      <c r="M1901" s="53">
        <v>45082</v>
      </c>
      <c r="N1901" t="s">
        <v>30</v>
      </c>
      <c r="O1901" t="s">
        <v>23</v>
      </c>
      <c r="P1901" s="54">
        <v>0.132355305288784</v>
      </c>
    </row>
    <row r="1902" spans="1:16">
      <c r="A1902" t="s">
        <v>4503</v>
      </c>
      <c r="B1902" t="s">
        <v>3434</v>
      </c>
      <c r="C1902" t="s">
        <v>4504</v>
      </c>
      <c r="D1902" t="s">
        <v>27</v>
      </c>
      <c r="E1902" t="s">
        <v>117</v>
      </c>
      <c r="F1902" t="s">
        <v>118</v>
      </c>
      <c r="G1902">
        <v>5</v>
      </c>
      <c r="H1902">
        <v>6996.73</v>
      </c>
      <c r="I1902">
        <v>0</v>
      </c>
      <c r="J1902">
        <v>34983.65</v>
      </c>
      <c r="K1902">
        <v>4828.26</v>
      </c>
      <c r="L1902">
        <v>1.4</v>
      </c>
      <c r="M1902" s="53">
        <v>45613</v>
      </c>
      <c r="N1902" t="s">
        <v>56</v>
      </c>
      <c r="O1902" t="s">
        <v>57</v>
      </c>
      <c r="P1902" s="54">
        <v>0.138014758322817</v>
      </c>
    </row>
    <row r="1903" spans="1:16">
      <c r="A1903" t="s">
        <v>4505</v>
      </c>
      <c r="B1903" t="s">
        <v>2975</v>
      </c>
      <c r="C1903" t="s">
        <v>4506</v>
      </c>
      <c r="D1903" t="s">
        <v>53</v>
      </c>
      <c r="E1903" t="s">
        <v>95</v>
      </c>
      <c r="F1903" t="s">
        <v>306</v>
      </c>
      <c r="G1903">
        <v>2</v>
      </c>
      <c r="H1903">
        <v>6161.31</v>
      </c>
      <c r="I1903">
        <v>0.2</v>
      </c>
      <c r="J1903">
        <v>9858.1</v>
      </c>
      <c r="K1903">
        <v>511.03</v>
      </c>
      <c r="L1903">
        <v>4.3</v>
      </c>
      <c r="M1903" s="53">
        <v>45403</v>
      </c>
      <c r="N1903" t="s">
        <v>56</v>
      </c>
      <c r="O1903" t="s">
        <v>44</v>
      </c>
      <c r="P1903" s="54">
        <v>0.0518385895862286</v>
      </c>
    </row>
    <row r="1904" spans="1:16">
      <c r="A1904" t="s">
        <v>4507</v>
      </c>
      <c r="B1904" t="s">
        <v>3996</v>
      </c>
      <c r="C1904" t="s">
        <v>4508</v>
      </c>
      <c r="D1904" t="s">
        <v>53</v>
      </c>
      <c r="E1904" t="s">
        <v>54</v>
      </c>
      <c r="F1904" t="s">
        <v>249</v>
      </c>
      <c r="G1904">
        <v>4</v>
      </c>
      <c r="H1904">
        <v>12323.46</v>
      </c>
      <c r="I1904">
        <v>0.05</v>
      </c>
      <c r="J1904">
        <v>46829.15</v>
      </c>
      <c r="K1904">
        <v>10202.45</v>
      </c>
      <c r="L1904">
        <v>2.5</v>
      </c>
      <c r="M1904" s="53">
        <v>45221</v>
      </c>
      <c r="N1904" t="s">
        <v>43</v>
      </c>
      <c r="O1904" t="s">
        <v>57</v>
      </c>
      <c r="P1904" s="54">
        <v>0.217865368045331</v>
      </c>
    </row>
    <row r="1905" spans="1:16">
      <c r="A1905" t="s">
        <v>4509</v>
      </c>
      <c r="B1905" t="s">
        <v>4510</v>
      </c>
      <c r="C1905" t="s">
        <v>3843</v>
      </c>
      <c r="D1905" t="s">
        <v>19</v>
      </c>
      <c r="E1905" t="s">
        <v>86</v>
      </c>
      <c r="F1905" t="s">
        <v>87</v>
      </c>
      <c r="G1905">
        <v>4</v>
      </c>
      <c r="H1905">
        <v>16151.82</v>
      </c>
      <c r="I1905">
        <v>0.2</v>
      </c>
      <c r="J1905">
        <v>51685.82</v>
      </c>
      <c r="K1905">
        <v>6742.95</v>
      </c>
      <c r="L1905">
        <v>1.8</v>
      </c>
      <c r="M1905" s="53">
        <v>45233</v>
      </c>
      <c r="N1905" t="s">
        <v>30</v>
      </c>
      <c r="O1905" t="s">
        <v>73</v>
      </c>
      <c r="P1905" s="54">
        <v>0.130460346764354</v>
      </c>
    </row>
    <row r="1906" spans="1:16">
      <c r="A1906" t="s">
        <v>4511</v>
      </c>
      <c r="B1906" t="s">
        <v>3358</v>
      </c>
      <c r="C1906" t="s">
        <v>4512</v>
      </c>
      <c r="D1906" t="s">
        <v>27</v>
      </c>
      <c r="E1906" t="s">
        <v>28</v>
      </c>
      <c r="F1906" t="s">
        <v>105</v>
      </c>
      <c r="G1906">
        <v>2</v>
      </c>
      <c r="H1906">
        <v>18132.91</v>
      </c>
      <c r="I1906">
        <v>0.2</v>
      </c>
      <c r="J1906">
        <v>29012.66</v>
      </c>
      <c r="K1906">
        <v>3065.31</v>
      </c>
      <c r="L1906">
        <v>4.2</v>
      </c>
      <c r="M1906" s="53">
        <v>45233</v>
      </c>
      <c r="N1906" t="s">
        <v>43</v>
      </c>
      <c r="O1906" t="s">
        <v>23</v>
      </c>
      <c r="P1906" s="54">
        <v>0.105654221295117</v>
      </c>
    </row>
    <row r="1907" spans="1:16">
      <c r="A1907" t="s">
        <v>4513</v>
      </c>
      <c r="B1907" t="s">
        <v>3560</v>
      </c>
      <c r="C1907" t="s">
        <v>4514</v>
      </c>
      <c r="D1907" t="s">
        <v>40</v>
      </c>
      <c r="E1907" t="s">
        <v>262</v>
      </c>
      <c r="F1907" t="s">
        <v>773</v>
      </c>
      <c r="G1907">
        <v>5</v>
      </c>
      <c r="H1907">
        <v>4129.92</v>
      </c>
      <c r="I1907">
        <v>0</v>
      </c>
      <c r="J1907">
        <v>20649.6</v>
      </c>
      <c r="K1907">
        <v>2131.66</v>
      </c>
      <c r="L1907">
        <v>1.9</v>
      </c>
      <c r="M1907" s="53">
        <v>45146</v>
      </c>
      <c r="N1907" t="s">
        <v>30</v>
      </c>
      <c r="O1907" t="s">
        <v>73</v>
      </c>
      <c r="P1907" s="54">
        <v>0.103230086781342</v>
      </c>
    </row>
    <row r="1908" spans="1:16">
      <c r="A1908" t="s">
        <v>4515</v>
      </c>
      <c r="B1908" t="s">
        <v>2617</v>
      </c>
      <c r="C1908" t="s">
        <v>4516</v>
      </c>
      <c r="D1908" t="s">
        <v>40</v>
      </c>
      <c r="E1908" t="s">
        <v>174</v>
      </c>
      <c r="F1908" t="s">
        <v>202</v>
      </c>
      <c r="G1908">
        <v>1</v>
      </c>
      <c r="H1908">
        <v>12944.27</v>
      </c>
      <c r="I1908">
        <v>0.2</v>
      </c>
      <c r="J1908">
        <v>10355.42</v>
      </c>
      <c r="K1908">
        <v>2446.41</v>
      </c>
      <c r="L1908">
        <v>3.4</v>
      </c>
      <c r="M1908" s="53">
        <v>45371</v>
      </c>
      <c r="N1908" t="s">
        <v>30</v>
      </c>
      <c r="O1908" t="s">
        <v>23</v>
      </c>
      <c r="P1908" s="54">
        <v>0.236244401482509</v>
      </c>
    </row>
    <row r="1909" spans="1:16">
      <c r="A1909" t="s">
        <v>4517</v>
      </c>
      <c r="B1909" t="s">
        <v>657</v>
      </c>
      <c r="C1909" t="s">
        <v>3525</v>
      </c>
      <c r="D1909" t="s">
        <v>53</v>
      </c>
      <c r="E1909" t="s">
        <v>100</v>
      </c>
      <c r="F1909" t="s">
        <v>267</v>
      </c>
      <c r="G1909">
        <v>2</v>
      </c>
      <c r="H1909">
        <v>16096.57</v>
      </c>
      <c r="I1909">
        <v>0.2</v>
      </c>
      <c r="J1909">
        <v>25754.51</v>
      </c>
      <c r="K1909">
        <v>1478.24</v>
      </c>
      <c r="L1909">
        <v>4.2</v>
      </c>
      <c r="M1909" s="53">
        <v>45079</v>
      </c>
      <c r="N1909" t="s">
        <v>43</v>
      </c>
      <c r="O1909" t="s">
        <v>57</v>
      </c>
      <c r="P1909" s="54">
        <v>0.0573973257499366</v>
      </c>
    </row>
    <row r="1910" spans="1:16">
      <c r="A1910" t="s">
        <v>4518</v>
      </c>
      <c r="B1910" t="s">
        <v>1217</v>
      </c>
      <c r="C1910" t="s">
        <v>4519</v>
      </c>
      <c r="D1910" t="s">
        <v>53</v>
      </c>
      <c r="E1910" t="s">
        <v>95</v>
      </c>
      <c r="F1910" t="s">
        <v>306</v>
      </c>
      <c r="G1910">
        <v>2</v>
      </c>
      <c r="H1910">
        <v>18442.29</v>
      </c>
      <c r="I1910">
        <v>0.05</v>
      </c>
      <c r="J1910">
        <v>35040.35</v>
      </c>
      <c r="K1910">
        <v>6229.85</v>
      </c>
      <c r="L1910">
        <v>4.8</v>
      </c>
      <c r="M1910" s="53">
        <v>45309</v>
      </c>
      <c r="N1910" t="s">
        <v>43</v>
      </c>
      <c r="O1910" t="s">
        <v>57</v>
      </c>
      <c r="P1910" s="54">
        <v>0.177790746953155</v>
      </c>
    </row>
    <row r="1911" spans="1:16">
      <c r="A1911" t="s">
        <v>4520</v>
      </c>
      <c r="B1911" t="s">
        <v>4521</v>
      </c>
      <c r="C1911" t="s">
        <v>4522</v>
      </c>
      <c r="D1911" t="s">
        <v>27</v>
      </c>
      <c r="E1911" t="s">
        <v>28</v>
      </c>
      <c r="F1911" t="s">
        <v>29</v>
      </c>
      <c r="G1911">
        <v>1</v>
      </c>
      <c r="H1911">
        <v>18909.09</v>
      </c>
      <c r="I1911">
        <v>0.05</v>
      </c>
      <c r="J1911">
        <v>17963.64</v>
      </c>
      <c r="K1911">
        <v>3348.06</v>
      </c>
      <c r="L1911">
        <v>1.4</v>
      </c>
      <c r="M1911" s="53">
        <v>45451</v>
      </c>
      <c r="N1911" t="s">
        <v>43</v>
      </c>
      <c r="O1911" t="s">
        <v>31</v>
      </c>
      <c r="P1911" s="54">
        <v>0.186379820570887</v>
      </c>
    </row>
    <row r="1912" spans="1:16">
      <c r="A1912" t="s">
        <v>4523</v>
      </c>
      <c r="B1912" t="s">
        <v>578</v>
      </c>
      <c r="C1912" t="s">
        <v>4524</v>
      </c>
      <c r="D1912" t="s">
        <v>19</v>
      </c>
      <c r="E1912" t="s">
        <v>35</v>
      </c>
      <c r="F1912" t="s">
        <v>121</v>
      </c>
      <c r="G1912">
        <v>5</v>
      </c>
      <c r="H1912">
        <v>7862.28</v>
      </c>
      <c r="I1912">
        <v>0.05</v>
      </c>
      <c r="J1912">
        <v>37345.83</v>
      </c>
      <c r="K1912">
        <v>2495.92</v>
      </c>
      <c r="L1912">
        <v>4.9</v>
      </c>
      <c r="M1912" s="53">
        <v>45578</v>
      </c>
      <c r="N1912" t="s">
        <v>56</v>
      </c>
      <c r="O1912" t="s">
        <v>57</v>
      </c>
      <c r="P1912" s="54">
        <v>0.0668326289708918</v>
      </c>
    </row>
    <row r="1913" spans="1:16">
      <c r="A1913" t="s">
        <v>4525</v>
      </c>
      <c r="B1913" t="s">
        <v>1927</v>
      </c>
      <c r="C1913" t="s">
        <v>4526</v>
      </c>
      <c r="D1913" t="s">
        <v>40</v>
      </c>
      <c r="E1913" t="s">
        <v>174</v>
      </c>
      <c r="F1913" t="s">
        <v>199</v>
      </c>
      <c r="G1913">
        <v>2</v>
      </c>
      <c r="H1913">
        <v>14852.81</v>
      </c>
      <c r="I1913">
        <v>0.2</v>
      </c>
      <c r="J1913">
        <v>23764.5</v>
      </c>
      <c r="K1913">
        <v>2370.31</v>
      </c>
      <c r="L1913">
        <v>4.1</v>
      </c>
      <c r="M1913" s="53">
        <v>45503</v>
      </c>
      <c r="N1913" t="s">
        <v>56</v>
      </c>
      <c r="O1913" t="s">
        <v>44</v>
      </c>
      <c r="P1913" s="54">
        <v>0.0997416314250247</v>
      </c>
    </row>
    <row r="1914" spans="1:16">
      <c r="A1914" t="s">
        <v>4527</v>
      </c>
      <c r="B1914" t="s">
        <v>4528</v>
      </c>
      <c r="C1914" t="s">
        <v>4529</v>
      </c>
      <c r="D1914" t="s">
        <v>53</v>
      </c>
      <c r="E1914" t="s">
        <v>54</v>
      </c>
      <c r="F1914" t="s">
        <v>55</v>
      </c>
      <c r="G1914">
        <v>3</v>
      </c>
      <c r="H1914">
        <v>17234.64</v>
      </c>
      <c r="I1914">
        <v>0.05</v>
      </c>
      <c r="J1914">
        <v>49118.72</v>
      </c>
      <c r="K1914">
        <v>8302.87</v>
      </c>
      <c r="L1914">
        <v>3.9</v>
      </c>
      <c r="M1914" s="53">
        <v>44971</v>
      </c>
      <c r="N1914" t="s">
        <v>22</v>
      </c>
      <c r="O1914" t="s">
        <v>23</v>
      </c>
      <c r="P1914" s="54">
        <v>0.16903677457393</v>
      </c>
    </row>
    <row r="1915" spans="1:16">
      <c r="A1915" t="s">
        <v>4530</v>
      </c>
      <c r="B1915" t="s">
        <v>503</v>
      </c>
      <c r="C1915" t="s">
        <v>1829</v>
      </c>
      <c r="D1915" t="s">
        <v>53</v>
      </c>
      <c r="E1915" t="s">
        <v>100</v>
      </c>
      <c r="F1915" t="s">
        <v>271</v>
      </c>
      <c r="G1915">
        <v>5</v>
      </c>
      <c r="H1915">
        <v>211.29</v>
      </c>
      <c r="I1915">
        <v>0.2</v>
      </c>
      <c r="J1915">
        <v>845.16</v>
      </c>
      <c r="K1915">
        <v>140.69</v>
      </c>
      <c r="L1915">
        <v>3.4</v>
      </c>
      <c r="M1915" s="53">
        <v>45536</v>
      </c>
      <c r="N1915" t="s">
        <v>30</v>
      </c>
      <c r="O1915" t="s">
        <v>31</v>
      </c>
      <c r="P1915" s="54">
        <v>0.166465521321407</v>
      </c>
    </row>
    <row r="1916" spans="1:16">
      <c r="A1916" t="s">
        <v>4531</v>
      </c>
      <c r="B1916" t="s">
        <v>4532</v>
      </c>
      <c r="C1916" t="s">
        <v>4533</v>
      </c>
      <c r="D1916" t="s">
        <v>40</v>
      </c>
      <c r="E1916" t="s">
        <v>174</v>
      </c>
      <c r="F1916" t="s">
        <v>199</v>
      </c>
      <c r="G1916">
        <v>4</v>
      </c>
      <c r="H1916">
        <v>16895.8</v>
      </c>
      <c r="I1916">
        <v>0.15</v>
      </c>
      <c r="J1916">
        <v>57445.72</v>
      </c>
      <c r="K1916">
        <v>12590.38</v>
      </c>
      <c r="L1916">
        <v>3.5</v>
      </c>
      <c r="M1916" s="53">
        <v>44989</v>
      </c>
      <c r="N1916" t="s">
        <v>56</v>
      </c>
      <c r="O1916" t="s">
        <v>31</v>
      </c>
      <c r="P1916" s="54">
        <v>0.219170026940214</v>
      </c>
    </row>
    <row r="1917" spans="1:16">
      <c r="A1917" t="s">
        <v>4534</v>
      </c>
      <c r="B1917" t="s">
        <v>2108</v>
      </c>
      <c r="C1917" t="s">
        <v>4535</v>
      </c>
      <c r="D1917" t="s">
        <v>53</v>
      </c>
      <c r="E1917" t="s">
        <v>95</v>
      </c>
      <c r="F1917" t="s">
        <v>306</v>
      </c>
      <c r="G1917">
        <v>3</v>
      </c>
      <c r="H1917">
        <v>16705.46</v>
      </c>
      <c r="I1917">
        <v>0.1</v>
      </c>
      <c r="J1917">
        <v>45104.74</v>
      </c>
      <c r="K1917">
        <v>6837.69</v>
      </c>
      <c r="L1917">
        <v>1.4</v>
      </c>
      <c r="M1917" s="53">
        <v>45495</v>
      </c>
      <c r="N1917" t="s">
        <v>22</v>
      </c>
      <c r="O1917" t="s">
        <v>31</v>
      </c>
      <c r="P1917" s="54">
        <v>0.15159581897601</v>
      </c>
    </row>
    <row r="1918" spans="1:16">
      <c r="A1918" t="s">
        <v>4536</v>
      </c>
      <c r="B1918" t="s">
        <v>968</v>
      </c>
      <c r="C1918" t="s">
        <v>1923</v>
      </c>
      <c r="D1918" t="s">
        <v>27</v>
      </c>
      <c r="E1918" t="s">
        <v>48</v>
      </c>
      <c r="F1918" t="s">
        <v>64</v>
      </c>
      <c r="G1918">
        <v>4</v>
      </c>
      <c r="H1918">
        <v>4681.89</v>
      </c>
      <c r="I1918">
        <v>0</v>
      </c>
      <c r="J1918">
        <v>18727.56</v>
      </c>
      <c r="K1918">
        <v>3661.86</v>
      </c>
      <c r="L1918">
        <v>1.4</v>
      </c>
      <c r="M1918" s="53">
        <v>45360</v>
      </c>
      <c r="N1918" t="s">
        <v>43</v>
      </c>
      <c r="O1918" t="s">
        <v>73</v>
      </c>
      <c r="P1918" s="54">
        <v>0.195533214150695</v>
      </c>
    </row>
    <row r="1919" spans="1:16">
      <c r="A1919" t="s">
        <v>4537</v>
      </c>
      <c r="B1919" t="s">
        <v>780</v>
      </c>
      <c r="C1919" t="s">
        <v>1623</v>
      </c>
      <c r="D1919" t="s">
        <v>40</v>
      </c>
      <c r="E1919" t="s">
        <v>262</v>
      </c>
      <c r="F1919" t="s">
        <v>385</v>
      </c>
      <c r="G1919">
        <v>2</v>
      </c>
      <c r="H1919">
        <v>12537.42</v>
      </c>
      <c r="I1919">
        <v>0.1</v>
      </c>
      <c r="J1919">
        <v>22567.36</v>
      </c>
      <c r="K1919">
        <v>5158.18</v>
      </c>
      <c r="L1919">
        <v>1.3</v>
      </c>
      <c r="M1919" s="53">
        <v>45010</v>
      </c>
      <c r="N1919" t="s">
        <v>22</v>
      </c>
      <c r="O1919" t="s">
        <v>44</v>
      </c>
      <c r="P1919" s="54">
        <v>0.228568162159863</v>
      </c>
    </row>
    <row r="1920" spans="1:16">
      <c r="A1920" t="s">
        <v>4538</v>
      </c>
      <c r="B1920" t="s">
        <v>398</v>
      </c>
      <c r="C1920" t="s">
        <v>218</v>
      </c>
      <c r="D1920" t="s">
        <v>19</v>
      </c>
      <c r="E1920" t="s">
        <v>35</v>
      </c>
      <c r="F1920" t="s">
        <v>215</v>
      </c>
      <c r="G1920">
        <v>1</v>
      </c>
      <c r="H1920">
        <v>6212.05</v>
      </c>
      <c r="I1920">
        <v>0.2</v>
      </c>
      <c r="J1920">
        <v>4969.64</v>
      </c>
      <c r="K1920">
        <v>705.99</v>
      </c>
      <c r="L1920">
        <v>3.3</v>
      </c>
      <c r="M1920" s="53">
        <v>45304</v>
      </c>
      <c r="N1920" t="s">
        <v>30</v>
      </c>
      <c r="O1920" t="s">
        <v>23</v>
      </c>
      <c r="P1920" s="54">
        <v>0.142060591914102</v>
      </c>
    </row>
    <row r="1921" spans="1:16">
      <c r="A1921" t="s">
        <v>4539</v>
      </c>
      <c r="B1921" t="s">
        <v>995</v>
      </c>
      <c r="C1921" t="s">
        <v>4540</v>
      </c>
      <c r="D1921" t="s">
        <v>40</v>
      </c>
      <c r="E1921" t="s">
        <v>174</v>
      </c>
      <c r="F1921" t="s">
        <v>199</v>
      </c>
      <c r="G1921">
        <v>5</v>
      </c>
      <c r="H1921">
        <v>9112.37</v>
      </c>
      <c r="I1921">
        <v>0.1</v>
      </c>
      <c r="J1921">
        <v>41005.67</v>
      </c>
      <c r="K1921">
        <v>3715.73</v>
      </c>
      <c r="L1921">
        <v>3.5</v>
      </c>
      <c r="M1921" s="53">
        <v>45272</v>
      </c>
      <c r="N1921" t="s">
        <v>22</v>
      </c>
      <c r="O1921" t="s">
        <v>44</v>
      </c>
      <c r="P1921" s="54">
        <v>0.0906150295800556</v>
      </c>
    </row>
    <row r="1922" spans="1:16">
      <c r="A1922" t="s">
        <v>4541</v>
      </c>
      <c r="B1922" t="s">
        <v>4542</v>
      </c>
      <c r="C1922" t="s">
        <v>4543</v>
      </c>
      <c r="D1922" t="s">
        <v>19</v>
      </c>
      <c r="E1922" t="s">
        <v>86</v>
      </c>
      <c r="F1922" t="s">
        <v>113</v>
      </c>
      <c r="G1922">
        <v>5</v>
      </c>
      <c r="H1922">
        <v>6544.14</v>
      </c>
      <c r="I1922">
        <v>0.05</v>
      </c>
      <c r="J1922">
        <v>31084.67</v>
      </c>
      <c r="K1922">
        <v>2229.68</v>
      </c>
      <c r="L1922">
        <v>3.4</v>
      </c>
      <c r="M1922" s="53">
        <v>45138</v>
      </c>
      <c r="N1922" t="s">
        <v>43</v>
      </c>
      <c r="O1922" t="s">
        <v>57</v>
      </c>
      <c r="P1922" s="54">
        <v>0.0717292478897154</v>
      </c>
    </row>
    <row r="1923" spans="1:16">
      <c r="A1923" t="s">
        <v>4544</v>
      </c>
      <c r="B1923" t="s">
        <v>624</v>
      </c>
      <c r="C1923" t="s">
        <v>1510</v>
      </c>
      <c r="D1923" t="s">
        <v>53</v>
      </c>
      <c r="E1923" t="s">
        <v>71</v>
      </c>
      <c r="F1923" t="s">
        <v>406</v>
      </c>
      <c r="G1923">
        <v>3</v>
      </c>
      <c r="H1923">
        <v>19246.2</v>
      </c>
      <c r="I1923">
        <v>0.15</v>
      </c>
      <c r="J1923">
        <v>49077.81</v>
      </c>
      <c r="K1923">
        <v>5647.1</v>
      </c>
      <c r="L1923">
        <v>1.2</v>
      </c>
      <c r="M1923" s="53">
        <v>44952</v>
      </c>
      <c r="N1923" t="s">
        <v>43</v>
      </c>
      <c r="O1923" t="s">
        <v>31</v>
      </c>
      <c r="P1923" s="54">
        <v>0.115064221488286</v>
      </c>
    </row>
    <row r="1924" spans="1:16">
      <c r="A1924" t="s">
        <v>4545</v>
      </c>
      <c r="B1924" t="s">
        <v>297</v>
      </c>
      <c r="C1924" t="s">
        <v>4546</v>
      </c>
      <c r="D1924" t="s">
        <v>19</v>
      </c>
      <c r="E1924" t="s">
        <v>20</v>
      </c>
      <c r="F1924" t="s">
        <v>21</v>
      </c>
      <c r="G1924">
        <v>3</v>
      </c>
      <c r="H1924">
        <v>924.95</v>
      </c>
      <c r="I1924">
        <v>0.15</v>
      </c>
      <c r="J1924">
        <v>2358.62</v>
      </c>
      <c r="K1924">
        <v>417.39</v>
      </c>
      <c r="L1924">
        <v>2.3</v>
      </c>
      <c r="M1924" s="53">
        <v>45527</v>
      </c>
      <c r="N1924" t="s">
        <v>56</v>
      </c>
      <c r="O1924" t="s">
        <v>57</v>
      </c>
      <c r="P1924" s="54">
        <v>0.176963648234985</v>
      </c>
    </row>
    <row r="1925" spans="1:16">
      <c r="A1925" t="s">
        <v>4547</v>
      </c>
      <c r="B1925" t="s">
        <v>3178</v>
      </c>
      <c r="C1925" t="s">
        <v>4548</v>
      </c>
      <c r="D1925" t="s">
        <v>40</v>
      </c>
      <c r="E1925" t="s">
        <v>262</v>
      </c>
      <c r="F1925" t="s">
        <v>385</v>
      </c>
      <c r="G1925">
        <v>2</v>
      </c>
      <c r="H1925">
        <v>3931.07</v>
      </c>
      <c r="I1925">
        <v>0.2</v>
      </c>
      <c r="J1925">
        <v>6289.71</v>
      </c>
      <c r="K1925">
        <v>1108.82</v>
      </c>
      <c r="L1925">
        <v>4</v>
      </c>
      <c r="M1925" s="53">
        <v>45341</v>
      </c>
      <c r="N1925" t="s">
        <v>30</v>
      </c>
      <c r="O1925" t="s">
        <v>57</v>
      </c>
      <c r="P1925" s="54">
        <v>0.17629111676055</v>
      </c>
    </row>
    <row r="1926" spans="1:16">
      <c r="A1926" t="s">
        <v>4549</v>
      </c>
      <c r="B1926" t="s">
        <v>1199</v>
      </c>
      <c r="C1926" t="s">
        <v>4550</v>
      </c>
      <c r="D1926" t="s">
        <v>19</v>
      </c>
      <c r="E1926" t="s">
        <v>129</v>
      </c>
      <c r="F1926" t="s">
        <v>167</v>
      </c>
      <c r="G1926">
        <v>5</v>
      </c>
      <c r="H1926">
        <v>6747.58</v>
      </c>
      <c r="I1926">
        <v>0.1</v>
      </c>
      <c r="J1926">
        <v>30364.11</v>
      </c>
      <c r="K1926">
        <v>4610.55</v>
      </c>
      <c r="L1926">
        <v>4.7</v>
      </c>
      <c r="M1926" s="53">
        <v>45116</v>
      </c>
      <c r="N1926" t="s">
        <v>43</v>
      </c>
      <c r="O1926" t="s">
        <v>73</v>
      </c>
      <c r="P1926" s="54">
        <v>0.151842092523048</v>
      </c>
    </row>
    <row r="1927" spans="1:16">
      <c r="A1927" t="s">
        <v>4551</v>
      </c>
      <c r="B1927" t="s">
        <v>1526</v>
      </c>
      <c r="C1927" t="s">
        <v>4487</v>
      </c>
      <c r="D1927" t="s">
        <v>27</v>
      </c>
      <c r="E1927" t="s">
        <v>233</v>
      </c>
      <c r="F1927" t="s">
        <v>665</v>
      </c>
      <c r="G1927">
        <v>3</v>
      </c>
      <c r="H1927">
        <v>10136.58</v>
      </c>
      <c r="I1927">
        <v>0.2</v>
      </c>
      <c r="J1927">
        <v>24327.79</v>
      </c>
      <c r="K1927">
        <v>5869.98</v>
      </c>
      <c r="L1927">
        <v>2.3</v>
      </c>
      <c r="M1927" s="53">
        <v>45288</v>
      </c>
      <c r="N1927" t="s">
        <v>56</v>
      </c>
      <c r="O1927" t="s">
        <v>57</v>
      </c>
      <c r="P1927" s="54">
        <v>0.241287021961304</v>
      </c>
    </row>
    <row r="1928" spans="1:16">
      <c r="A1928" t="s">
        <v>4552</v>
      </c>
      <c r="B1928" t="s">
        <v>3049</v>
      </c>
      <c r="C1928" t="s">
        <v>4553</v>
      </c>
      <c r="D1928" t="s">
        <v>19</v>
      </c>
      <c r="E1928" t="s">
        <v>20</v>
      </c>
      <c r="F1928" t="s">
        <v>134</v>
      </c>
      <c r="G1928">
        <v>2</v>
      </c>
      <c r="H1928">
        <v>9938.78</v>
      </c>
      <c r="I1928">
        <v>0.2</v>
      </c>
      <c r="J1928">
        <v>15902.05</v>
      </c>
      <c r="K1928">
        <v>1268.65</v>
      </c>
      <c r="L1928">
        <v>4.1</v>
      </c>
      <c r="M1928" s="53">
        <v>45308</v>
      </c>
      <c r="N1928" t="s">
        <v>30</v>
      </c>
      <c r="O1928" t="s">
        <v>44</v>
      </c>
      <c r="P1928" s="54">
        <v>0.0797790222015401</v>
      </c>
    </row>
    <row r="1929" spans="1:16">
      <c r="A1929" t="s">
        <v>4554</v>
      </c>
      <c r="B1929" t="s">
        <v>3736</v>
      </c>
      <c r="C1929" t="s">
        <v>4555</v>
      </c>
      <c r="D1929" t="s">
        <v>27</v>
      </c>
      <c r="E1929" t="s">
        <v>28</v>
      </c>
      <c r="F1929" t="s">
        <v>225</v>
      </c>
      <c r="G1929">
        <v>5</v>
      </c>
      <c r="H1929">
        <v>6113.29</v>
      </c>
      <c r="I1929">
        <v>0.1</v>
      </c>
      <c r="J1929">
        <v>27509.81</v>
      </c>
      <c r="K1929">
        <v>2085.38</v>
      </c>
      <c r="L1929">
        <v>1.4</v>
      </c>
      <c r="M1929" s="53">
        <v>44980</v>
      </c>
      <c r="N1929" t="s">
        <v>43</v>
      </c>
      <c r="O1929" t="s">
        <v>31</v>
      </c>
      <c r="P1929" s="54">
        <v>0.075804958303965</v>
      </c>
    </row>
    <row r="1930" spans="1:16">
      <c r="A1930" t="s">
        <v>4556</v>
      </c>
      <c r="B1930" t="s">
        <v>1667</v>
      </c>
      <c r="C1930" t="s">
        <v>4557</v>
      </c>
      <c r="D1930" t="s">
        <v>27</v>
      </c>
      <c r="E1930" t="s">
        <v>48</v>
      </c>
      <c r="F1930" t="s">
        <v>64</v>
      </c>
      <c r="G1930">
        <v>5</v>
      </c>
      <c r="H1930">
        <v>1828.7</v>
      </c>
      <c r="I1930">
        <v>0.2</v>
      </c>
      <c r="J1930">
        <v>7314.8</v>
      </c>
      <c r="K1930">
        <v>650.22</v>
      </c>
      <c r="L1930">
        <v>1</v>
      </c>
      <c r="M1930" s="53">
        <v>45104</v>
      </c>
      <c r="N1930" t="s">
        <v>22</v>
      </c>
      <c r="O1930" t="s">
        <v>23</v>
      </c>
      <c r="P1930" s="54">
        <v>0.0888910154754744</v>
      </c>
    </row>
    <row r="1931" spans="1:16">
      <c r="A1931" t="s">
        <v>4558</v>
      </c>
      <c r="B1931" t="s">
        <v>4559</v>
      </c>
      <c r="C1931" t="s">
        <v>4560</v>
      </c>
      <c r="D1931" t="s">
        <v>27</v>
      </c>
      <c r="E1931" t="s">
        <v>233</v>
      </c>
      <c r="F1931" t="s">
        <v>606</v>
      </c>
      <c r="G1931">
        <v>1</v>
      </c>
      <c r="H1931">
        <v>3409.92</v>
      </c>
      <c r="I1931">
        <v>0</v>
      </c>
      <c r="J1931">
        <v>3409.92</v>
      </c>
      <c r="K1931">
        <v>605.31</v>
      </c>
      <c r="L1931">
        <v>3.7</v>
      </c>
      <c r="M1931" s="53">
        <v>45645</v>
      </c>
      <c r="N1931" t="s">
        <v>30</v>
      </c>
      <c r="O1931" t="s">
        <v>31</v>
      </c>
      <c r="P1931" s="54">
        <v>0.177514428490991</v>
      </c>
    </row>
    <row r="1932" spans="1:16">
      <c r="A1932" t="s">
        <v>4561</v>
      </c>
      <c r="B1932" t="s">
        <v>2430</v>
      </c>
      <c r="C1932" t="s">
        <v>4562</v>
      </c>
      <c r="D1932" t="s">
        <v>19</v>
      </c>
      <c r="E1932" t="s">
        <v>20</v>
      </c>
      <c r="F1932" t="s">
        <v>454</v>
      </c>
      <c r="G1932">
        <v>4</v>
      </c>
      <c r="H1932">
        <v>15169.34</v>
      </c>
      <c r="I1932">
        <v>0</v>
      </c>
      <c r="J1932">
        <v>60677.36</v>
      </c>
      <c r="K1932">
        <v>12883.17</v>
      </c>
      <c r="L1932">
        <v>2.2</v>
      </c>
      <c r="M1932" s="53">
        <v>45093</v>
      </c>
      <c r="N1932" t="s">
        <v>43</v>
      </c>
      <c r="O1932" t="s">
        <v>73</v>
      </c>
      <c r="P1932" s="54">
        <v>0.212322520294225</v>
      </c>
    </row>
    <row r="1933" spans="1:16">
      <c r="A1933" t="s">
        <v>4563</v>
      </c>
      <c r="B1933" t="s">
        <v>984</v>
      </c>
      <c r="C1933" t="s">
        <v>4564</v>
      </c>
      <c r="D1933" t="s">
        <v>53</v>
      </c>
      <c r="E1933" t="s">
        <v>54</v>
      </c>
      <c r="F1933" t="s">
        <v>109</v>
      </c>
      <c r="G1933">
        <v>4</v>
      </c>
      <c r="H1933">
        <v>14103.08</v>
      </c>
      <c r="I1933">
        <v>0.2</v>
      </c>
      <c r="J1933">
        <v>45129.86</v>
      </c>
      <c r="K1933">
        <v>2952.93</v>
      </c>
      <c r="L1933">
        <v>3.8</v>
      </c>
      <c r="M1933" s="53">
        <v>45300</v>
      </c>
      <c r="N1933" t="s">
        <v>22</v>
      </c>
      <c r="O1933" t="s">
        <v>57</v>
      </c>
      <c r="P1933" s="54">
        <v>0.0654318449026875</v>
      </c>
    </row>
    <row r="1934" spans="1:16">
      <c r="A1934" t="s">
        <v>4565</v>
      </c>
      <c r="B1934" t="s">
        <v>1108</v>
      </c>
      <c r="C1934" t="s">
        <v>4566</v>
      </c>
      <c r="D1934" t="s">
        <v>19</v>
      </c>
      <c r="E1934" t="s">
        <v>129</v>
      </c>
      <c r="F1934" t="s">
        <v>302</v>
      </c>
      <c r="G1934">
        <v>4</v>
      </c>
      <c r="H1934">
        <v>2704.1</v>
      </c>
      <c r="I1934">
        <v>0.2</v>
      </c>
      <c r="J1934">
        <v>8653.12</v>
      </c>
      <c r="K1934">
        <v>611.37</v>
      </c>
      <c r="L1934">
        <v>1.5</v>
      </c>
      <c r="M1934" s="53">
        <v>45305</v>
      </c>
      <c r="N1934" t="s">
        <v>43</v>
      </c>
      <c r="O1934" t="s">
        <v>31</v>
      </c>
      <c r="P1934" s="54">
        <v>0.0706531285825228</v>
      </c>
    </row>
    <row r="1935" spans="1:16">
      <c r="A1935" t="s">
        <v>4567</v>
      </c>
      <c r="B1935" t="s">
        <v>1577</v>
      </c>
      <c r="C1935" t="s">
        <v>4568</v>
      </c>
      <c r="D1935" t="s">
        <v>40</v>
      </c>
      <c r="E1935" t="s">
        <v>262</v>
      </c>
      <c r="F1935" t="s">
        <v>385</v>
      </c>
      <c r="G1935">
        <v>1</v>
      </c>
      <c r="H1935">
        <v>11718.29</v>
      </c>
      <c r="I1935">
        <v>0.1</v>
      </c>
      <c r="J1935">
        <v>10546.46</v>
      </c>
      <c r="K1935">
        <v>1238.36</v>
      </c>
      <c r="L1935">
        <v>3.5</v>
      </c>
      <c r="M1935" s="53">
        <v>45135</v>
      </c>
      <c r="N1935" t="s">
        <v>30</v>
      </c>
      <c r="O1935" t="s">
        <v>23</v>
      </c>
      <c r="P1935" s="54">
        <v>0.117419494313732</v>
      </c>
    </row>
    <row r="1936" spans="1:16">
      <c r="A1936" t="s">
        <v>4569</v>
      </c>
      <c r="B1936" t="s">
        <v>1854</v>
      </c>
      <c r="C1936" t="s">
        <v>4570</v>
      </c>
      <c r="D1936" t="s">
        <v>19</v>
      </c>
      <c r="E1936" t="s">
        <v>35</v>
      </c>
      <c r="F1936" t="s">
        <v>215</v>
      </c>
      <c r="G1936">
        <v>5</v>
      </c>
      <c r="H1936">
        <v>14504.33</v>
      </c>
      <c r="I1936">
        <v>0</v>
      </c>
      <c r="J1936">
        <v>72521.65</v>
      </c>
      <c r="K1936">
        <v>6566.57</v>
      </c>
      <c r="L1936">
        <v>3.8</v>
      </c>
      <c r="M1936" s="53">
        <v>45302</v>
      </c>
      <c r="N1936" t="s">
        <v>56</v>
      </c>
      <c r="O1936" t="s">
        <v>31</v>
      </c>
      <c r="P1936" s="54">
        <v>0.0905463402997588</v>
      </c>
    </row>
    <row r="1937" spans="1:16">
      <c r="A1937" t="s">
        <v>4571</v>
      </c>
      <c r="B1937" t="s">
        <v>269</v>
      </c>
      <c r="C1937" t="s">
        <v>4572</v>
      </c>
      <c r="D1937" t="s">
        <v>40</v>
      </c>
      <c r="E1937" t="s">
        <v>41</v>
      </c>
      <c r="F1937" t="s">
        <v>125</v>
      </c>
      <c r="G1937">
        <v>3</v>
      </c>
      <c r="H1937">
        <v>19323.53</v>
      </c>
      <c r="I1937">
        <v>0</v>
      </c>
      <c r="J1937">
        <v>57970.59</v>
      </c>
      <c r="K1937">
        <v>5215.22</v>
      </c>
      <c r="L1937">
        <v>1.7</v>
      </c>
      <c r="M1937" s="53">
        <v>45003</v>
      </c>
      <c r="N1937" t="s">
        <v>30</v>
      </c>
      <c r="O1937" t="s">
        <v>31</v>
      </c>
      <c r="P1937" s="54">
        <v>0.0899632037555595</v>
      </c>
    </row>
    <row r="1938" spans="1:16">
      <c r="A1938" t="s">
        <v>4573</v>
      </c>
      <c r="B1938" t="s">
        <v>2728</v>
      </c>
      <c r="C1938" t="s">
        <v>4574</v>
      </c>
      <c r="D1938" t="s">
        <v>27</v>
      </c>
      <c r="E1938" t="s">
        <v>48</v>
      </c>
      <c r="F1938" t="s">
        <v>583</v>
      </c>
      <c r="G1938">
        <v>3</v>
      </c>
      <c r="H1938">
        <v>11881.2</v>
      </c>
      <c r="I1938">
        <v>0.05</v>
      </c>
      <c r="J1938">
        <v>33861.42</v>
      </c>
      <c r="K1938">
        <v>3827.35</v>
      </c>
      <c r="L1938">
        <v>2.1</v>
      </c>
      <c r="M1938" s="53">
        <v>45023</v>
      </c>
      <c r="N1938" t="s">
        <v>43</v>
      </c>
      <c r="O1938" t="s">
        <v>57</v>
      </c>
      <c r="P1938" s="54">
        <v>0.113029813870771</v>
      </c>
    </row>
    <row r="1939" spans="1:16">
      <c r="A1939" t="s">
        <v>4575</v>
      </c>
      <c r="B1939" t="s">
        <v>3937</v>
      </c>
      <c r="C1939" t="s">
        <v>4576</v>
      </c>
      <c r="D1939" t="s">
        <v>40</v>
      </c>
      <c r="E1939" t="s">
        <v>41</v>
      </c>
      <c r="F1939" t="s">
        <v>125</v>
      </c>
      <c r="G1939">
        <v>5</v>
      </c>
      <c r="H1939">
        <v>15316.32</v>
      </c>
      <c r="I1939">
        <v>0</v>
      </c>
      <c r="J1939">
        <v>76581.6</v>
      </c>
      <c r="K1939">
        <v>8533.92</v>
      </c>
      <c r="L1939">
        <v>4.1</v>
      </c>
      <c r="M1939" s="53">
        <v>45440</v>
      </c>
      <c r="N1939" t="s">
        <v>30</v>
      </c>
      <c r="O1939" t="s">
        <v>73</v>
      </c>
      <c r="P1939" s="54">
        <v>0.111435645115798</v>
      </c>
    </row>
    <row r="1940" spans="1:16">
      <c r="A1940" t="s">
        <v>4577</v>
      </c>
      <c r="B1940" t="s">
        <v>3560</v>
      </c>
      <c r="C1940" t="s">
        <v>4578</v>
      </c>
      <c r="D1940" t="s">
        <v>40</v>
      </c>
      <c r="E1940" t="s">
        <v>262</v>
      </c>
      <c r="F1940" t="s">
        <v>773</v>
      </c>
      <c r="G1940">
        <v>5</v>
      </c>
      <c r="H1940">
        <v>6393.17</v>
      </c>
      <c r="I1940">
        <v>0</v>
      </c>
      <c r="J1940">
        <v>31965.85</v>
      </c>
      <c r="K1940">
        <v>7562.88</v>
      </c>
      <c r="L1940">
        <v>3.2</v>
      </c>
      <c r="M1940" s="53">
        <v>45032</v>
      </c>
      <c r="N1940" t="s">
        <v>30</v>
      </c>
      <c r="O1940" t="s">
        <v>44</v>
      </c>
      <c r="P1940" s="54">
        <v>0.236592488546371</v>
      </c>
    </row>
    <row r="1941" spans="1:16">
      <c r="A1941" t="s">
        <v>4579</v>
      </c>
      <c r="B1941" t="s">
        <v>2485</v>
      </c>
      <c r="C1941" t="s">
        <v>4580</v>
      </c>
      <c r="D1941" t="s">
        <v>27</v>
      </c>
      <c r="E1941" t="s">
        <v>28</v>
      </c>
      <c r="F1941" t="s">
        <v>29</v>
      </c>
      <c r="G1941">
        <v>1</v>
      </c>
      <c r="H1941">
        <v>6797.62</v>
      </c>
      <c r="I1941">
        <v>0.15</v>
      </c>
      <c r="J1941">
        <v>5777.98</v>
      </c>
      <c r="K1941">
        <v>386.99</v>
      </c>
      <c r="L1941">
        <v>2.6</v>
      </c>
      <c r="M1941" s="53">
        <v>45582</v>
      </c>
      <c r="N1941" t="s">
        <v>22</v>
      </c>
      <c r="O1941" t="s">
        <v>73</v>
      </c>
      <c r="P1941" s="54">
        <v>0.0669766942772388</v>
      </c>
    </row>
    <row r="1942" spans="1:16">
      <c r="A1942" t="s">
        <v>4581</v>
      </c>
      <c r="B1942" t="s">
        <v>1556</v>
      </c>
      <c r="C1942" t="s">
        <v>3801</v>
      </c>
      <c r="D1942" t="s">
        <v>40</v>
      </c>
      <c r="E1942" t="s">
        <v>174</v>
      </c>
      <c r="F1942" t="s">
        <v>202</v>
      </c>
      <c r="G1942">
        <v>4</v>
      </c>
      <c r="H1942">
        <v>7081.3</v>
      </c>
      <c r="I1942">
        <v>0.1</v>
      </c>
      <c r="J1942">
        <v>25492.68</v>
      </c>
      <c r="K1942">
        <v>1318.68</v>
      </c>
      <c r="L1942">
        <v>4.2</v>
      </c>
      <c r="M1942" s="53">
        <v>45544</v>
      </c>
      <c r="N1942" t="s">
        <v>22</v>
      </c>
      <c r="O1942" t="s">
        <v>31</v>
      </c>
      <c r="P1942" s="54">
        <v>0.051727790095039</v>
      </c>
    </row>
    <row r="1943" spans="1:16">
      <c r="A1943" t="s">
        <v>4582</v>
      </c>
      <c r="B1943" t="s">
        <v>482</v>
      </c>
      <c r="C1943" t="s">
        <v>4583</v>
      </c>
      <c r="D1943" t="s">
        <v>19</v>
      </c>
      <c r="E1943" t="s">
        <v>20</v>
      </c>
      <c r="F1943" t="s">
        <v>134</v>
      </c>
      <c r="G1943">
        <v>2</v>
      </c>
      <c r="H1943">
        <v>17121.33</v>
      </c>
      <c r="I1943">
        <v>0.2</v>
      </c>
      <c r="J1943">
        <v>27394.13</v>
      </c>
      <c r="K1943">
        <v>4753.7</v>
      </c>
      <c r="L1943">
        <v>1.1</v>
      </c>
      <c r="M1943" s="53">
        <v>44929</v>
      </c>
      <c r="N1943" t="s">
        <v>56</v>
      </c>
      <c r="O1943" t="s">
        <v>57</v>
      </c>
      <c r="P1943" s="54">
        <v>0.173529876656057</v>
      </c>
    </row>
    <row r="1944" spans="1:16">
      <c r="A1944" t="s">
        <v>4584</v>
      </c>
      <c r="B1944" t="s">
        <v>2781</v>
      </c>
      <c r="C1944" t="s">
        <v>4585</v>
      </c>
      <c r="D1944" t="s">
        <v>27</v>
      </c>
      <c r="E1944" t="s">
        <v>117</v>
      </c>
      <c r="F1944" t="s">
        <v>225</v>
      </c>
      <c r="G1944">
        <v>4</v>
      </c>
      <c r="H1944">
        <v>13713.46</v>
      </c>
      <c r="I1944">
        <v>0.2</v>
      </c>
      <c r="J1944">
        <v>43883.07</v>
      </c>
      <c r="K1944">
        <v>8683.18</v>
      </c>
      <c r="L1944">
        <v>3.2</v>
      </c>
      <c r="M1944" s="53">
        <v>45625</v>
      </c>
      <c r="N1944" t="s">
        <v>22</v>
      </c>
      <c r="O1944" t="s">
        <v>23</v>
      </c>
      <c r="P1944" s="54">
        <v>0.197870841761982</v>
      </c>
    </row>
    <row r="1945" spans="1:16">
      <c r="A1945" t="s">
        <v>4586</v>
      </c>
      <c r="B1945" t="s">
        <v>127</v>
      </c>
      <c r="C1945" t="s">
        <v>4587</v>
      </c>
      <c r="D1945" t="s">
        <v>40</v>
      </c>
      <c r="E1945" t="s">
        <v>262</v>
      </c>
      <c r="F1945" t="s">
        <v>263</v>
      </c>
      <c r="G1945">
        <v>4</v>
      </c>
      <c r="H1945">
        <v>15501.84</v>
      </c>
      <c r="I1945">
        <v>0.05</v>
      </c>
      <c r="J1945">
        <v>58906.99</v>
      </c>
      <c r="K1945">
        <v>4003.28</v>
      </c>
      <c r="L1945">
        <v>2.1</v>
      </c>
      <c r="M1945" s="53">
        <v>45648</v>
      </c>
      <c r="N1945" t="s">
        <v>22</v>
      </c>
      <c r="O1945" t="s">
        <v>73</v>
      </c>
      <c r="P1945" s="54">
        <v>0.0679593372535246</v>
      </c>
    </row>
    <row r="1946" spans="1:16">
      <c r="A1946" t="s">
        <v>4588</v>
      </c>
      <c r="B1946" t="s">
        <v>3889</v>
      </c>
      <c r="C1946" t="s">
        <v>4589</v>
      </c>
      <c r="D1946" t="s">
        <v>53</v>
      </c>
      <c r="E1946" t="s">
        <v>100</v>
      </c>
      <c r="F1946" t="s">
        <v>267</v>
      </c>
      <c r="G1946">
        <v>5</v>
      </c>
      <c r="H1946">
        <v>10992.18</v>
      </c>
      <c r="I1946">
        <v>0.2</v>
      </c>
      <c r="J1946">
        <v>43968.72</v>
      </c>
      <c r="K1946">
        <v>4515.59</v>
      </c>
      <c r="L1946">
        <v>2.1</v>
      </c>
      <c r="M1946" s="53">
        <v>45353</v>
      </c>
      <c r="N1946" t="s">
        <v>30</v>
      </c>
      <c r="O1946" t="s">
        <v>23</v>
      </c>
      <c r="P1946" s="54">
        <v>0.102700055857892</v>
      </c>
    </row>
    <row r="1947" spans="1:16">
      <c r="A1947" t="s">
        <v>4590</v>
      </c>
      <c r="B1947" t="s">
        <v>2301</v>
      </c>
      <c r="C1947" t="s">
        <v>4591</v>
      </c>
      <c r="D1947" t="s">
        <v>19</v>
      </c>
      <c r="E1947" t="s">
        <v>86</v>
      </c>
      <c r="F1947" t="s">
        <v>182</v>
      </c>
      <c r="G1947">
        <v>5</v>
      </c>
      <c r="H1947">
        <v>19124.19</v>
      </c>
      <c r="I1947">
        <v>0.2</v>
      </c>
      <c r="J1947">
        <v>76496.76</v>
      </c>
      <c r="K1947">
        <v>15027.26</v>
      </c>
      <c r="L1947">
        <v>1.2</v>
      </c>
      <c r="M1947" s="53">
        <v>45655</v>
      </c>
      <c r="N1947" t="s">
        <v>43</v>
      </c>
      <c r="O1947" t="s">
        <v>57</v>
      </c>
      <c r="P1947" s="54">
        <v>0.196443091184516</v>
      </c>
    </row>
    <row r="1948" spans="1:16">
      <c r="A1948" t="s">
        <v>4592</v>
      </c>
      <c r="B1948" t="s">
        <v>3692</v>
      </c>
      <c r="C1948" t="s">
        <v>1460</v>
      </c>
      <c r="D1948" t="s">
        <v>19</v>
      </c>
      <c r="E1948" t="s">
        <v>129</v>
      </c>
      <c r="F1948" t="s">
        <v>320</v>
      </c>
      <c r="G1948">
        <v>2</v>
      </c>
      <c r="H1948">
        <v>5555.01</v>
      </c>
      <c r="I1948">
        <v>0.1</v>
      </c>
      <c r="J1948">
        <v>9999.02</v>
      </c>
      <c r="K1948">
        <v>550.97</v>
      </c>
      <c r="L1948">
        <v>4.9</v>
      </c>
      <c r="M1948" s="53">
        <v>45624</v>
      </c>
      <c r="N1948" t="s">
        <v>43</v>
      </c>
      <c r="O1948" t="s">
        <v>44</v>
      </c>
      <c r="P1948" s="54">
        <v>0.0551024000352034</v>
      </c>
    </row>
    <row r="1949" spans="1:16">
      <c r="A1949" t="s">
        <v>4593</v>
      </c>
      <c r="B1949" t="s">
        <v>510</v>
      </c>
      <c r="C1949" t="s">
        <v>4594</v>
      </c>
      <c r="D1949" t="s">
        <v>19</v>
      </c>
      <c r="E1949" t="s">
        <v>129</v>
      </c>
      <c r="F1949" t="s">
        <v>320</v>
      </c>
      <c r="G1949">
        <v>1</v>
      </c>
      <c r="H1949">
        <v>7460.24</v>
      </c>
      <c r="I1949">
        <v>0.1</v>
      </c>
      <c r="J1949">
        <v>6714.22</v>
      </c>
      <c r="K1949">
        <v>539.32</v>
      </c>
      <c r="L1949">
        <v>1.6</v>
      </c>
      <c r="M1949" s="53">
        <v>45372</v>
      </c>
      <c r="N1949" t="s">
        <v>43</v>
      </c>
      <c r="O1949" t="s">
        <v>57</v>
      </c>
      <c r="P1949" s="54">
        <v>0.0803250414791294</v>
      </c>
    </row>
    <row r="1950" spans="1:16">
      <c r="A1950" t="s">
        <v>4595</v>
      </c>
      <c r="B1950" t="s">
        <v>942</v>
      </c>
      <c r="C1950" t="s">
        <v>4596</v>
      </c>
      <c r="D1950" t="s">
        <v>19</v>
      </c>
      <c r="E1950" t="s">
        <v>129</v>
      </c>
      <c r="F1950" t="s">
        <v>302</v>
      </c>
      <c r="G1950">
        <v>4</v>
      </c>
      <c r="H1950">
        <v>3983.24</v>
      </c>
      <c r="I1950">
        <v>0.2</v>
      </c>
      <c r="J1950">
        <v>12746.37</v>
      </c>
      <c r="K1950">
        <v>1681.73</v>
      </c>
      <c r="L1950">
        <v>3.7</v>
      </c>
      <c r="M1950" s="53">
        <v>45163</v>
      </c>
      <c r="N1950" t="s">
        <v>30</v>
      </c>
      <c r="O1950" t="s">
        <v>73</v>
      </c>
      <c r="P1950" s="54">
        <v>0.131937955668947</v>
      </c>
    </row>
    <row r="1951" spans="1:16">
      <c r="A1951" t="s">
        <v>4597</v>
      </c>
      <c r="B1951" t="s">
        <v>1143</v>
      </c>
      <c r="C1951" t="s">
        <v>4598</v>
      </c>
      <c r="D1951" t="s">
        <v>53</v>
      </c>
      <c r="E1951" t="s">
        <v>71</v>
      </c>
      <c r="F1951" t="s">
        <v>225</v>
      </c>
      <c r="G1951">
        <v>1</v>
      </c>
      <c r="H1951">
        <v>2780.58</v>
      </c>
      <c r="I1951">
        <v>0.1</v>
      </c>
      <c r="J1951">
        <v>2502.52</v>
      </c>
      <c r="K1951">
        <v>513.24</v>
      </c>
      <c r="L1951">
        <v>2.5</v>
      </c>
      <c r="M1951" s="53">
        <v>45408</v>
      </c>
      <c r="N1951" t="s">
        <v>56</v>
      </c>
      <c r="O1951" t="s">
        <v>23</v>
      </c>
      <c r="P1951" s="54">
        <v>0.205089270015824</v>
      </c>
    </row>
    <row r="1952" spans="1:16">
      <c r="A1952" t="s">
        <v>4599</v>
      </c>
      <c r="B1952" t="s">
        <v>710</v>
      </c>
      <c r="C1952" t="s">
        <v>4600</v>
      </c>
      <c r="D1952" t="s">
        <v>27</v>
      </c>
      <c r="E1952" t="s">
        <v>28</v>
      </c>
      <c r="F1952" t="s">
        <v>225</v>
      </c>
      <c r="G1952">
        <v>1</v>
      </c>
      <c r="H1952">
        <v>4318.4</v>
      </c>
      <c r="I1952">
        <v>0</v>
      </c>
      <c r="J1952">
        <v>4318.4</v>
      </c>
      <c r="K1952">
        <v>613.08</v>
      </c>
      <c r="L1952">
        <v>5</v>
      </c>
      <c r="M1952" s="53">
        <v>45394</v>
      </c>
      <c r="N1952" t="s">
        <v>30</v>
      </c>
      <c r="O1952" t="s">
        <v>57</v>
      </c>
      <c r="P1952" s="54">
        <v>0.141969247869581</v>
      </c>
    </row>
    <row r="1953" spans="1:16">
      <c r="A1953" t="s">
        <v>4601</v>
      </c>
      <c r="B1953" t="s">
        <v>2553</v>
      </c>
      <c r="C1953" t="s">
        <v>4602</v>
      </c>
      <c r="D1953" t="s">
        <v>40</v>
      </c>
      <c r="E1953" t="s">
        <v>262</v>
      </c>
      <c r="F1953" t="s">
        <v>385</v>
      </c>
      <c r="G1953">
        <v>2</v>
      </c>
      <c r="H1953">
        <v>16453.68</v>
      </c>
      <c r="I1953">
        <v>0.15</v>
      </c>
      <c r="J1953">
        <v>27971.26</v>
      </c>
      <c r="K1953">
        <v>1644.17</v>
      </c>
      <c r="L1953">
        <v>2.4</v>
      </c>
      <c r="M1953" s="53">
        <v>45584</v>
      </c>
      <c r="N1953" t="s">
        <v>43</v>
      </c>
      <c r="O1953" t="s">
        <v>23</v>
      </c>
      <c r="P1953" s="54">
        <v>0.0587806913238803</v>
      </c>
    </row>
    <row r="1954" spans="1:16">
      <c r="A1954" t="s">
        <v>4603</v>
      </c>
      <c r="B1954" t="s">
        <v>2843</v>
      </c>
      <c r="C1954" t="s">
        <v>4604</v>
      </c>
      <c r="D1954" t="s">
        <v>40</v>
      </c>
      <c r="E1954" t="s">
        <v>174</v>
      </c>
      <c r="F1954" t="s">
        <v>199</v>
      </c>
      <c r="G1954">
        <v>2</v>
      </c>
      <c r="H1954">
        <v>657.62</v>
      </c>
      <c r="I1954">
        <v>0.1</v>
      </c>
      <c r="J1954">
        <v>1183.72</v>
      </c>
      <c r="K1954">
        <v>86.23</v>
      </c>
      <c r="L1954">
        <v>2.4</v>
      </c>
      <c r="M1954" s="53">
        <v>45277</v>
      </c>
      <c r="N1954" t="s">
        <v>43</v>
      </c>
      <c r="O1954" t="s">
        <v>73</v>
      </c>
      <c r="P1954" s="54">
        <v>0.0728466191329031</v>
      </c>
    </row>
    <row r="1955" spans="1:16">
      <c r="A1955" t="s">
        <v>4605</v>
      </c>
      <c r="B1955" t="s">
        <v>279</v>
      </c>
      <c r="C1955" t="s">
        <v>4606</v>
      </c>
      <c r="D1955" t="s">
        <v>27</v>
      </c>
      <c r="E1955" t="s">
        <v>48</v>
      </c>
      <c r="F1955" t="s">
        <v>583</v>
      </c>
      <c r="G1955">
        <v>3</v>
      </c>
      <c r="H1955">
        <v>19395.86</v>
      </c>
      <c r="I1955">
        <v>0.2</v>
      </c>
      <c r="J1955">
        <v>46550.06</v>
      </c>
      <c r="K1955">
        <v>9714.53</v>
      </c>
      <c r="L1955">
        <v>1.3</v>
      </c>
      <c r="M1955" s="53">
        <v>45233</v>
      </c>
      <c r="N1955" t="s">
        <v>43</v>
      </c>
      <c r="O1955" t="s">
        <v>44</v>
      </c>
      <c r="P1955" s="54">
        <v>0.208689956575781</v>
      </c>
    </row>
    <row r="1956" spans="1:16">
      <c r="A1956" t="s">
        <v>4607</v>
      </c>
      <c r="B1956" t="s">
        <v>880</v>
      </c>
      <c r="C1956" t="s">
        <v>4608</v>
      </c>
      <c r="D1956" t="s">
        <v>27</v>
      </c>
      <c r="E1956" t="s">
        <v>28</v>
      </c>
      <c r="F1956" t="s">
        <v>225</v>
      </c>
      <c r="G1956">
        <v>4</v>
      </c>
      <c r="H1956">
        <v>9078.43</v>
      </c>
      <c r="I1956">
        <v>0.05</v>
      </c>
      <c r="J1956">
        <v>34498.03</v>
      </c>
      <c r="K1956">
        <v>3449.62</v>
      </c>
      <c r="L1956">
        <v>3.9</v>
      </c>
      <c r="M1956" s="53">
        <v>45298</v>
      </c>
      <c r="N1956" t="s">
        <v>30</v>
      </c>
      <c r="O1956" t="s">
        <v>73</v>
      </c>
      <c r="P1956" s="54">
        <v>0.0999946953492707</v>
      </c>
    </row>
    <row r="1957" spans="1:16">
      <c r="A1957" t="s">
        <v>4609</v>
      </c>
      <c r="B1957" t="s">
        <v>2131</v>
      </c>
      <c r="C1957" t="s">
        <v>4610</v>
      </c>
      <c r="D1957" t="s">
        <v>27</v>
      </c>
      <c r="E1957" t="s">
        <v>117</v>
      </c>
      <c r="F1957" t="s">
        <v>192</v>
      </c>
      <c r="G1957">
        <v>1</v>
      </c>
      <c r="H1957">
        <v>12405.09</v>
      </c>
      <c r="I1957">
        <v>0.05</v>
      </c>
      <c r="J1957">
        <v>11784.84</v>
      </c>
      <c r="K1957">
        <v>2782.31</v>
      </c>
      <c r="L1957">
        <v>3.6</v>
      </c>
      <c r="M1957" s="53">
        <v>45181</v>
      </c>
      <c r="N1957" t="s">
        <v>22</v>
      </c>
      <c r="O1957" t="s">
        <v>23</v>
      </c>
      <c r="P1957" s="54">
        <v>0.236092301634982</v>
      </c>
    </row>
    <row r="1958" spans="1:16">
      <c r="A1958" t="s">
        <v>4611</v>
      </c>
      <c r="B1958" t="s">
        <v>4103</v>
      </c>
      <c r="C1958" t="s">
        <v>4612</v>
      </c>
      <c r="D1958" t="s">
        <v>53</v>
      </c>
      <c r="E1958" t="s">
        <v>100</v>
      </c>
      <c r="F1958" t="s">
        <v>271</v>
      </c>
      <c r="G1958">
        <v>1</v>
      </c>
      <c r="H1958">
        <v>13558.36</v>
      </c>
      <c r="I1958">
        <v>0</v>
      </c>
      <c r="J1958">
        <v>13558.36</v>
      </c>
      <c r="K1958">
        <v>2127.79</v>
      </c>
      <c r="L1958">
        <v>3.4</v>
      </c>
      <c r="M1958" s="53">
        <v>45027</v>
      </c>
      <c r="N1958" t="s">
        <v>43</v>
      </c>
      <c r="O1958" t="s">
        <v>73</v>
      </c>
      <c r="P1958" s="54">
        <v>0.156935647084161</v>
      </c>
    </row>
    <row r="1959" spans="1:16">
      <c r="A1959" t="s">
        <v>4613</v>
      </c>
      <c r="B1959" t="s">
        <v>913</v>
      </c>
      <c r="C1959" t="s">
        <v>4614</v>
      </c>
      <c r="D1959" t="s">
        <v>27</v>
      </c>
      <c r="E1959" t="s">
        <v>117</v>
      </c>
      <c r="F1959" t="s">
        <v>505</v>
      </c>
      <c r="G1959">
        <v>2</v>
      </c>
      <c r="H1959">
        <v>16518.15</v>
      </c>
      <c r="I1959">
        <v>0.1</v>
      </c>
      <c r="J1959">
        <v>29732.67</v>
      </c>
      <c r="K1959">
        <v>4354.09</v>
      </c>
      <c r="L1959">
        <v>3</v>
      </c>
      <c r="M1959" s="53">
        <v>45072</v>
      </c>
      <c r="N1959" t="s">
        <v>56</v>
      </c>
      <c r="O1959" t="s">
        <v>57</v>
      </c>
      <c r="P1959" s="54">
        <v>0.146441271503703</v>
      </c>
    </row>
    <row r="1960" spans="1:16">
      <c r="A1960" t="s">
        <v>4615</v>
      </c>
      <c r="B1960" t="s">
        <v>2051</v>
      </c>
      <c r="C1960" t="s">
        <v>4612</v>
      </c>
      <c r="D1960" t="s">
        <v>19</v>
      </c>
      <c r="E1960" t="s">
        <v>129</v>
      </c>
      <c r="F1960" t="s">
        <v>320</v>
      </c>
      <c r="G1960">
        <v>4</v>
      </c>
      <c r="H1960">
        <v>10314.6</v>
      </c>
      <c r="I1960">
        <v>0.05</v>
      </c>
      <c r="J1960">
        <v>39195.48</v>
      </c>
      <c r="K1960">
        <v>2321.75</v>
      </c>
      <c r="L1960">
        <v>1.5</v>
      </c>
      <c r="M1960" s="53">
        <v>45576</v>
      </c>
      <c r="N1960" t="s">
        <v>30</v>
      </c>
      <c r="O1960" t="s">
        <v>73</v>
      </c>
      <c r="P1960" s="54">
        <v>0.0592351465015864</v>
      </c>
    </row>
    <row r="1961" spans="1:16">
      <c r="A1961" t="s">
        <v>4616</v>
      </c>
      <c r="B1961" t="s">
        <v>2461</v>
      </c>
      <c r="C1961" t="s">
        <v>532</v>
      </c>
      <c r="D1961" t="s">
        <v>40</v>
      </c>
      <c r="E1961" t="s">
        <v>81</v>
      </c>
      <c r="F1961" t="s">
        <v>82</v>
      </c>
      <c r="G1961">
        <v>4</v>
      </c>
      <c r="H1961">
        <v>4450.78</v>
      </c>
      <c r="I1961">
        <v>0.15</v>
      </c>
      <c r="J1961">
        <v>15132.65</v>
      </c>
      <c r="K1961">
        <v>1433.99</v>
      </c>
      <c r="L1961">
        <v>4.4</v>
      </c>
      <c r="M1961" s="53">
        <v>45252</v>
      </c>
      <c r="N1961" t="s">
        <v>22</v>
      </c>
      <c r="O1961" t="s">
        <v>57</v>
      </c>
      <c r="P1961" s="54">
        <v>0.0947613273286569</v>
      </c>
    </row>
    <row r="1962" spans="1:16">
      <c r="A1962" t="s">
        <v>4617</v>
      </c>
      <c r="B1962" t="s">
        <v>831</v>
      </c>
      <c r="C1962" t="s">
        <v>4618</v>
      </c>
      <c r="D1962" t="s">
        <v>19</v>
      </c>
      <c r="E1962" t="s">
        <v>20</v>
      </c>
      <c r="F1962" t="s">
        <v>134</v>
      </c>
      <c r="G1962">
        <v>5</v>
      </c>
      <c r="H1962">
        <v>6580.41</v>
      </c>
      <c r="I1962">
        <v>0</v>
      </c>
      <c r="J1962">
        <v>32902.05</v>
      </c>
      <c r="K1962">
        <v>6210.44</v>
      </c>
      <c r="L1962">
        <v>1</v>
      </c>
      <c r="M1962" s="53">
        <v>45227</v>
      </c>
      <c r="N1962" t="s">
        <v>30</v>
      </c>
      <c r="O1962" t="s">
        <v>44</v>
      </c>
      <c r="P1962" s="54">
        <v>0.188755411896827</v>
      </c>
    </row>
    <row r="1963" spans="1:16">
      <c r="A1963" t="s">
        <v>4619</v>
      </c>
      <c r="B1963" t="s">
        <v>1814</v>
      </c>
      <c r="C1963" t="s">
        <v>1871</v>
      </c>
      <c r="D1963" t="s">
        <v>40</v>
      </c>
      <c r="E1963" t="s">
        <v>41</v>
      </c>
      <c r="F1963" t="s">
        <v>91</v>
      </c>
      <c r="G1963">
        <v>5</v>
      </c>
      <c r="H1963">
        <v>6406.19</v>
      </c>
      <c r="I1963">
        <v>0.1</v>
      </c>
      <c r="J1963">
        <v>28827.85</v>
      </c>
      <c r="K1963">
        <v>2200.61</v>
      </c>
      <c r="L1963">
        <v>1.9</v>
      </c>
      <c r="M1963" s="53">
        <v>45075</v>
      </c>
      <c r="N1963" t="s">
        <v>56</v>
      </c>
      <c r="O1963" t="s">
        <v>44</v>
      </c>
      <c r="P1963" s="54">
        <v>0.07633625122928</v>
      </c>
    </row>
    <row r="1964" spans="1:16">
      <c r="A1964" t="s">
        <v>4620</v>
      </c>
      <c r="B1964" t="s">
        <v>3146</v>
      </c>
      <c r="C1964" t="s">
        <v>4621</v>
      </c>
      <c r="D1964" t="s">
        <v>53</v>
      </c>
      <c r="E1964" t="s">
        <v>95</v>
      </c>
      <c r="F1964" t="s">
        <v>306</v>
      </c>
      <c r="G1964">
        <v>3</v>
      </c>
      <c r="H1964">
        <v>13866.42</v>
      </c>
      <c r="I1964">
        <v>0.2</v>
      </c>
      <c r="J1964">
        <v>33279.41</v>
      </c>
      <c r="K1964">
        <v>2044.13</v>
      </c>
      <c r="L1964">
        <v>2.5</v>
      </c>
      <c r="M1964" s="53">
        <v>45587</v>
      </c>
      <c r="N1964" t="s">
        <v>43</v>
      </c>
      <c r="O1964" t="s">
        <v>23</v>
      </c>
      <c r="P1964" s="54">
        <v>0.0614232644148439</v>
      </c>
    </row>
    <row r="1965" spans="1:16">
      <c r="A1965" t="s">
        <v>4622</v>
      </c>
      <c r="B1965" t="s">
        <v>4623</v>
      </c>
      <c r="C1965" t="s">
        <v>4624</v>
      </c>
      <c r="D1965" t="s">
        <v>19</v>
      </c>
      <c r="E1965" t="s">
        <v>129</v>
      </c>
      <c r="F1965" t="s">
        <v>167</v>
      </c>
      <c r="G1965">
        <v>4</v>
      </c>
      <c r="H1965">
        <v>2849.81</v>
      </c>
      <c r="I1965">
        <v>0.1</v>
      </c>
      <c r="J1965">
        <v>10259.32</v>
      </c>
      <c r="K1965">
        <v>1731.47</v>
      </c>
      <c r="L1965">
        <v>2.6</v>
      </c>
      <c r="M1965" s="53">
        <v>45208</v>
      </c>
      <c r="N1965" t="s">
        <v>30</v>
      </c>
      <c r="O1965" t="s">
        <v>44</v>
      </c>
      <c r="P1965" s="54">
        <v>0.168770444824803</v>
      </c>
    </row>
    <row r="1966" spans="1:16">
      <c r="A1966" t="s">
        <v>4625</v>
      </c>
      <c r="B1966" t="s">
        <v>877</v>
      </c>
      <c r="C1966" t="s">
        <v>4626</v>
      </c>
      <c r="D1966" t="s">
        <v>19</v>
      </c>
      <c r="E1966" t="s">
        <v>35</v>
      </c>
      <c r="F1966" t="s">
        <v>215</v>
      </c>
      <c r="G1966">
        <v>1</v>
      </c>
      <c r="H1966">
        <v>3789.12</v>
      </c>
      <c r="I1966">
        <v>0.05</v>
      </c>
      <c r="J1966">
        <v>3599.66</v>
      </c>
      <c r="K1966">
        <v>414.48</v>
      </c>
      <c r="L1966">
        <v>2.6</v>
      </c>
      <c r="M1966" s="53">
        <v>45278</v>
      </c>
      <c r="N1966" t="s">
        <v>56</v>
      </c>
      <c r="O1966" t="s">
        <v>44</v>
      </c>
      <c r="P1966" s="54">
        <v>0.115144208064095</v>
      </c>
    </row>
    <row r="1967" spans="1:16">
      <c r="A1967" t="s">
        <v>4627</v>
      </c>
      <c r="B1967" t="s">
        <v>3348</v>
      </c>
      <c r="C1967" t="s">
        <v>4628</v>
      </c>
      <c r="D1967" t="s">
        <v>40</v>
      </c>
      <c r="E1967" t="s">
        <v>262</v>
      </c>
      <c r="F1967" t="s">
        <v>773</v>
      </c>
      <c r="G1967">
        <v>1</v>
      </c>
      <c r="H1967">
        <v>8710.38</v>
      </c>
      <c r="I1967">
        <v>0.15</v>
      </c>
      <c r="J1967">
        <v>7403.82</v>
      </c>
      <c r="K1967">
        <v>1122.11</v>
      </c>
      <c r="L1967">
        <v>3.2</v>
      </c>
      <c r="M1967" s="53">
        <v>45627</v>
      </c>
      <c r="N1967" t="s">
        <v>56</v>
      </c>
      <c r="O1967" t="s">
        <v>73</v>
      </c>
      <c r="P1967" s="54">
        <v>0.151558249660311</v>
      </c>
    </row>
    <row r="1968" spans="1:16">
      <c r="A1968" t="s">
        <v>4629</v>
      </c>
      <c r="B1968" t="s">
        <v>1323</v>
      </c>
      <c r="C1968" t="s">
        <v>4630</v>
      </c>
      <c r="D1968" t="s">
        <v>19</v>
      </c>
      <c r="E1968" t="s">
        <v>129</v>
      </c>
      <c r="F1968" t="s">
        <v>302</v>
      </c>
      <c r="G1968">
        <v>1</v>
      </c>
      <c r="H1968">
        <v>2315.34</v>
      </c>
      <c r="I1968">
        <v>0.1</v>
      </c>
      <c r="J1968">
        <v>2083.81</v>
      </c>
      <c r="K1968">
        <v>367.78</v>
      </c>
      <c r="L1968">
        <v>3.9</v>
      </c>
      <c r="M1968" s="53">
        <v>45595</v>
      </c>
      <c r="N1968" t="s">
        <v>43</v>
      </c>
      <c r="O1968" t="s">
        <v>23</v>
      </c>
      <c r="P1968" s="54">
        <v>0.176494018168643</v>
      </c>
    </row>
    <row r="1969" spans="1:16">
      <c r="A1969" t="s">
        <v>4631</v>
      </c>
      <c r="B1969" t="s">
        <v>381</v>
      </c>
      <c r="C1969" t="s">
        <v>4632</v>
      </c>
      <c r="D1969" t="s">
        <v>19</v>
      </c>
      <c r="E1969" t="s">
        <v>35</v>
      </c>
      <c r="F1969" t="s">
        <v>36</v>
      </c>
      <c r="G1969">
        <v>2</v>
      </c>
      <c r="H1969">
        <v>16316.73</v>
      </c>
      <c r="I1969">
        <v>0.05</v>
      </c>
      <c r="J1969">
        <v>31001.79</v>
      </c>
      <c r="K1969">
        <v>2902.55</v>
      </c>
      <c r="L1969">
        <v>2.3</v>
      </c>
      <c r="M1969" s="53">
        <v>45500</v>
      </c>
      <c r="N1969" t="s">
        <v>43</v>
      </c>
      <c r="O1969" t="s">
        <v>73</v>
      </c>
      <c r="P1969" s="54">
        <v>0.0936252390587769</v>
      </c>
    </row>
    <row r="1970" spans="1:16">
      <c r="A1970" t="s">
        <v>4633</v>
      </c>
      <c r="B1970" t="s">
        <v>4634</v>
      </c>
      <c r="C1970" t="s">
        <v>4635</v>
      </c>
      <c r="D1970" t="s">
        <v>27</v>
      </c>
      <c r="E1970" t="s">
        <v>28</v>
      </c>
      <c r="F1970" t="s">
        <v>192</v>
      </c>
      <c r="G1970">
        <v>4</v>
      </c>
      <c r="H1970">
        <v>1658.02</v>
      </c>
      <c r="I1970">
        <v>0.15</v>
      </c>
      <c r="J1970">
        <v>5637.27</v>
      </c>
      <c r="K1970">
        <v>1116.74</v>
      </c>
      <c r="L1970">
        <v>4.2</v>
      </c>
      <c r="M1970" s="53">
        <v>45383</v>
      </c>
      <c r="N1970" t="s">
        <v>43</v>
      </c>
      <c r="O1970" t="s">
        <v>31</v>
      </c>
      <c r="P1970" s="54">
        <v>0.198099434655427</v>
      </c>
    </row>
    <row r="1971" spans="1:16">
      <c r="A1971" t="s">
        <v>4636</v>
      </c>
      <c r="B1971" t="s">
        <v>2059</v>
      </c>
      <c r="C1971" t="s">
        <v>3214</v>
      </c>
      <c r="D1971" t="s">
        <v>40</v>
      </c>
      <c r="E1971" t="s">
        <v>41</v>
      </c>
      <c r="F1971" t="s">
        <v>91</v>
      </c>
      <c r="G1971">
        <v>4</v>
      </c>
      <c r="H1971">
        <v>5998.62</v>
      </c>
      <c r="I1971">
        <v>0.15</v>
      </c>
      <c r="J1971">
        <v>20395.31</v>
      </c>
      <c r="K1971">
        <v>1412.2</v>
      </c>
      <c r="L1971">
        <v>3.9</v>
      </c>
      <c r="M1971" s="53">
        <v>45102</v>
      </c>
      <c r="N1971" t="s">
        <v>22</v>
      </c>
      <c r="O1971" t="s">
        <v>31</v>
      </c>
      <c r="P1971" s="54">
        <v>0.0692414089317593</v>
      </c>
    </row>
    <row r="1972" spans="1:16">
      <c r="A1972" t="s">
        <v>4637</v>
      </c>
      <c r="B1972" t="s">
        <v>3957</v>
      </c>
      <c r="C1972" t="s">
        <v>4638</v>
      </c>
      <c r="D1972" t="s">
        <v>27</v>
      </c>
      <c r="E1972" t="s">
        <v>28</v>
      </c>
      <c r="F1972" t="s">
        <v>225</v>
      </c>
      <c r="G1972">
        <v>2</v>
      </c>
      <c r="H1972">
        <v>9235.24</v>
      </c>
      <c r="I1972">
        <v>0.05</v>
      </c>
      <c r="J1972">
        <v>17546.96</v>
      </c>
      <c r="K1972">
        <v>1972.07</v>
      </c>
      <c r="L1972">
        <v>4.2</v>
      </c>
      <c r="M1972" s="53">
        <v>45382</v>
      </c>
      <c r="N1972" t="s">
        <v>30</v>
      </c>
      <c r="O1972" t="s">
        <v>31</v>
      </c>
      <c r="P1972" s="54">
        <v>0.112388128769884</v>
      </c>
    </row>
    <row r="1973" spans="1:16">
      <c r="A1973" t="s">
        <v>4639</v>
      </c>
      <c r="B1973" t="s">
        <v>4030</v>
      </c>
      <c r="C1973" t="s">
        <v>4640</v>
      </c>
      <c r="D1973" t="s">
        <v>53</v>
      </c>
      <c r="E1973" t="s">
        <v>95</v>
      </c>
      <c r="F1973" t="s">
        <v>524</v>
      </c>
      <c r="G1973">
        <v>3</v>
      </c>
      <c r="H1973">
        <v>19593.55</v>
      </c>
      <c r="I1973">
        <v>0.05</v>
      </c>
      <c r="J1973">
        <v>55841.62</v>
      </c>
      <c r="K1973">
        <v>3961.57</v>
      </c>
      <c r="L1973">
        <v>1.6</v>
      </c>
      <c r="M1973" s="53">
        <v>45257</v>
      </c>
      <c r="N1973" t="s">
        <v>56</v>
      </c>
      <c r="O1973" t="s">
        <v>73</v>
      </c>
      <c r="P1973" s="54">
        <v>0.0709429633309349</v>
      </c>
    </row>
    <row r="1974" spans="1:16">
      <c r="A1974" t="s">
        <v>4641</v>
      </c>
      <c r="B1974" t="s">
        <v>1526</v>
      </c>
      <c r="C1974" t="s">
        <v>4642</v>
      </c>
      <c r="D1974" t="s">
        <v>19</v>
      </c>
      <c r="E1974" t="s">
        <v>35</v>
      </c>
      <c r="F1974" t="s">
        <v>245</v>
      </c>
      <c r="G1974">
        <v>2</v>
      </c>
      <c r="H1974">
        <v>7593.28</v>
      </c>
      <c r="I1974">
        <v>0</v>
      </c>
      <c r="J1974">
        <v>15186.56</v>
      </c>
      <c r="K1974">
        <v>2990.65</v>
      </c>
      <c r="L1974">
        <v>3.5</v>
      </c>
      <c r="M1974" s="53">
        <v>45557</v>
      </c>
      <c r="N1974" t="s">
        <v>22</v>
      </c>
      <c r="O1974" t="s">
        <v>57</v>
      </c>
      <c r="P1974" s="54">
        <v>0.196927414766741</v>
      </c>
    </row>
    <row r="1975" spans="1:16">
      <c r="A1975" t="s">
        <v>4643</v>
      </c>
      <c r="B1975" t="s">
        <v>1981</v>
      </c>
      <c r="C1975" t="s">
        <v>4377</v>
      </c>
      <c r="D1975" t="s">
        <v>40</v>
      </c>
      <c r="E1975" t="s">
        <v>174</v>
      </c>
      <c r="F1975" t="s">
        <v>313</v>
      </c>
      <c r="G1975">
        <v>2</v>
      </c>
      <c r="H1975">
        <v>14786.01</v>
      </c>
      <c r="I1975">
        <v>0</v>
      </c>
      <c r="J1975">
        <v>29572.02</v>
      </c>
      <c r="K1975">
        <v>4989.86</v>
      </c>
      <c r="L1975">
        <v>3.3</v>
      </c>
      <c r="M1975" s="53">
        <v>45453</v>
      </c>
      <c r="N1975" t="s">
        <v>56</v>
      </c>
      <c r="O1975" t="s">
        <v>57</v>
      </c>
      <c r="P1975" s="54">
        <v>0.168735852336093</v>
      </c>
    </row>
    <row r="1976" spans="1:16">
      <c r="A1976" t="s">
        <v>4644</v>
      </c>
      <c r="B1976" t="s">
        <v>273</v>
      </c>
      <c r="C1976" t="s">
        <v>4645</v>
      </c>
      <c r="D1976" t="s">
        <v>53</v>
      </c>
      <c r="E1976" t="s">
        <v>71</v>
      </c>
      <c r="F1976" t="s">
        <v>150</v>
      </c>
      <c r="G1976">
        <v>2</v>
      </c>
      <c r="H1976">
        <v>17580.72</v>
      </c>
      <c r="I1976">
        <v>0.2</v>
      </c>
      <c r="J1976">
        <v>28129.15</v>
      </c>
      <c r="K1976">
        <v>5769.51</v>
      </c>
      <c r="L1976">
        <v>1.9</v>
      </c>
      <c r="M1976" s="53">
        <v>45112</v>
      </c>
      <c r="N1976" t="s">
        <v>56</v>
      </c>
      <c r="O1976" t="s">
        <v>44</v>
      </c>
      <c r="P1976" s="54">
        <v>0.205107868527844</v>
      </c>
    </row>
    <row r="1977" spans="1:16">
      <c r="A1977" t="s">
        <v>4646</v>
      </c>
      <c r="B1977" t="s">
        <v>543</v>
      </c>
      <c r="C1977" t="s">
        <v>4647</v>
      </c>
      <c r="D1977" t="s">
        <v>53</v>
      </c>
      <c r="E1977" t="s">
        <v>54</v>
      </c>
      <c r="F1977" t="s">
        <v>258</v>
      </c>
      <c r="G1977">
        <v>2</v>
      </c>
      <c r="H1977">
        <v>16850.23</v>
      </c>
      <c r="I1977">
        <v>0.2</v>
      </c>
      <c r="J1977">
        <v>26960.37</v>
      </c>
      <c r="K1977">
        <v>2991.99</v>
      </c>
      <c r="L1977">
        <v>2.2</v>
      </c>
      <c r="M1977" s="53">
        <v>45067</v>
      </c>
      <c r="N1977" t="s">
        <v>22</v>
      </c>
      <c r="O1977" t="s">
        <v>31</v>
      </c>
      <c r="P1977" s="54">
        <v>0.110977334509875</v>
      </c>
    </row>
    <row r="1978" spans="1:16">
      <c r="A1978" t="s">
        <v>4648</v>
      </c>
      <c r="B1978" t="s">
        <v>3406</v>
      </c>
      <c r="C1978" t="s">
        <v>4649</v>
      </c>
      <c r="D1978" t="s">
        <v>19</v>
      </c>
      <c r="E1978" t="s">
        <v>86</v>
      </c>
      <c r="F1978" t="s">
        <v>113</v>
      </c>
      <c r="G1978">
        <v>1</v>
      </c>
      <c r="H1978">
        <v>11614.69</v>
      </c>
      <c r="I1978">
        <v>0</v>
      </c>
      <c r="J1978">
        <v>11614.69</v>
      </c>
      <c r="K1978">
        <v>2417.5</v>
      </c>
      <c r="L1978">
        <v>3.6</v>
      </c>
      <c r="M1978" s="53">
        <v>45297</v>
      </c>
      <c r="N1978" t="s">
        <v>22</v>
      </c>
      <c r="O1978" t="s">
        <v>73</v>
      </c>
      <c r="P1978" s="54">
        <v>0.208141586215388</v>
      </c>
    </row>
    <row r="1979" spans="1:16">
      <c r="A1979" t="s">
        <v>4650</v>
      </c>
      <c r="B1979" t="s">
        <v>2595</v>
      </c>
      <c r="C1979" t="s">
        <v>4651</v>
      </c>
      <c r="D1979" t="s">
        <v>27</v>
      </c>
      <c r="E1979" t="s">
        <v>28</v>
      </c>
      <c r="F1979" t="s">
        <v>29</v>
      </c>
      <c r="G1979">
        <v>5</v>
      </c>
      <c r="H1979">
        <v>231.32</v>
      </c>
      <c r="I1979">
        <v>0</v>
      </c>
      <c r="J1979">
        <v>1156.6</v>
      </c>
      <c r="K1979">
        <v>96.54</v>
      </c>
      <c r="L1979">
        <v>3.3</v>
      </c>
      <c r="M1979" s="53">
        <v>45408</v>
      </c>
      <c r="N1979" t="s">
        <v>30</v>
      </c>
      <c r="O1979" t="s">
        <v>73</v>
      </c>
      <c r="P1979" s="54">
        <v>0.0834687878263877</v>
      </c>
    </row>
    <row r="1980" spans="1:16">
      <c r="A1980" t="s">
        <v>4652</v>
      </c>
      <c r="B1980" t="s">
        <v>1155</v>
      </c>
      <c r="C1980" t="s">
        <v>4653</v>
      </c>
      <c r="D1980" t="s">
        <v>40</v>
      </c>
      <c r="E1980" t="s">
        <v>81</v>
      </c>
      <c r="F1980" t="s">
        <v>263</v>
      </c>
      <c r="G1980">
        <v>5</v>
      </c>
      <c r="H1980">
        <v>10389.22</v>
      </c>
      <c r="I1980">
        <v>0.05</v>
      </c>
      <c r="J1980">
        <v>49348.79</v>
      </c>
      <c r="K1980">
        <v>8122.44</v>
      </c>
      <c r="L1980">
        <v>1.2</v>
      </c>
      <c r="M1980" s="53">
        <v>45171</v>
      </c>
      <c r="N1980" t="s">
        <v>22</v>
      </c>
      <c r="O1980" t="s">
        <v>31</v>
      </c>
      <c r="P1980" s="54">
        <v>0.164592485448985</v>
      </c>
    </row>
    <row r="1981" spans="1:16">
      <c r="A1981" t="s">
        <v>4654</v>
      </c>
      <c r="B1981" t="s">
        <v>2947</v>
      </c>
      <c r="C1981" t="s">
        <v>4655</v>
      </c>
      <c r="D1981" t="s">
        <v>27</v>
      </c>
      <c r="E1981" t="s">
        <v>233</v>
      </c>
      <c r="F1981" t="s">
        <v>606</v>
      </c>
      <c r="G1981">
        <v>3</v>
      </c>
      <c r="H1981">
        <v>12301.36</v>
      </c>
      <c r="I1981">
        <v>0.2</v>
      </c>
      <c r="J1981">
        <v>29523.26</v>
      </c>
      <c r="K1981">
        <v>2830.64</v>
      </c>
      <c r="L1981">
        <v>4.1</v>
      </c>
      <c r="M1981" s="53">
        <v>45444</v>
      </c>
      <c r="N1981" t="s">
        <v>22</v>
      </c>
      <c r="O1981" t="s">
        <v>73</v>
      </c>
      <c r="P1981" s="54">
        <v>0.0958783007025647</v>
      </c>
    </row>
    <row r="1982" spans="1:16">
      <c r="A1982" t="s">
        <v>4656</v>
      </c>
      <c r="B1982" t="s">
        <v>456</v>
      </c>
      <c r="C1982" t="s">
        <v>3125</v>
      </c>
      <c r="D1982" t="s">
        <v>40</v>
      </c>
      <c r="E1982" t="s">
        <v>174</v>
      </c>
      <c r="F1982" t="s">
        <v>199</v>
      </c>
      <c r="G1982">
        <v>4</v>
      </c>
      <c r="H1982">
        <v>3075.44</v>
      </c>
      <c r="I1982">
        <v>0</v>
      </c>
      <c r="J1982">
        <v>12301.76</v>
      </c>
      <c r="K1982">
        <v>1270.89</v>
      </c>
      <c r="L1982">
        <v>1.1</v>
      </c>
      <c r="M1982" s="53">
        <v>45259</v>
      </c>
      <c r="N1982" t="s">
        <v>56</v>
      </c>
      <c r="O1982" t="s">
        <v>44</v>
      </c>
      <c r="P1982" s="54">
        <v>0.103309607730926</v>
      </c>
    </row>
    <row r="1983" spans="1:16">
      <c r="A1983" t="s">
        <v>4657</v>
      </c>
      <c r="B1983" t="s">
        <v>2695</v>
      </c>
      <c r="C1983" t="s">
        <v>4658</v>
      </c>
      <c r="D1983" t="s">
        <v>53</v>
      </c>
      <c r="E1983" t="s">
        <v>95</v>
      </c>
      <c r="F1983" t="s">
        <v>271</v>
      </c>
      <c r="G1983">
        <v>5</v>
      </c>
      <c r="H1983">
        <v>14188.73</v>
      </c>
      <c r="I1983">
        <v>0</v>
      </c>
      <c r="J1983">
        <v>70943.65</v>
      </c>
      <c r="K1983">
        <v>16932.99</v>
      </c>
      <c r="L1983">
        <v>1.8</v>
      </c>
      <c r="M1983" s="53">
        <v>45604</v>
      </c>
      <c r="N1983" t="s">
        <v>43</v>
      </c>
      <c r="O1983" t="s">
        <v>57</v>
      </c>
      <c r="P1983" s="54">
        <v>0.238682249926526</v>
      </c>
    </row>
    <row r="1984" spans="1:16">
      <c r="A1984" t="s">
        <v>4659</v>
      </c>
      <c r="B1984" t="s">
        <v>4660</v>
      </c>
      <c r="C1984" t="s">
        <v>4661</v>
      </c>
      <c r="D1984" t="s">
        <v>27</v>
      </c>
      <c r="E1984" t="s">
        <v>48</v>
      </c>
      <c r="F1984" t="s">
        <v>64</v>
      </c>
      <c r="G1984">
        <v>3</v>
      </c>
      <c r="H1984">
        <v>6156.38</v>
      </c>
      <c r="I1984">
        <v>0.1</v>
      </c>
      <c r="J1984">
        <v>16622.23</v>
      </c>
      <c r="K1984">
        <v>2332.49</v>
      </c>
      <c r="L1984">
        <v>3.7</v>
      </c>
      <c r="M1984" s="53">
        <v>44968</v>
      </c>
      <c r="N1984" t="s">
        <v>43</v>
      </c>
      <c r="O1984" t="s">
        <v>73</v>
      </c>
      <c r="P1984" s="54">
        <v>0.140323530597278</v>
      </c>
    </row>
    <row r="1985" spans="1:16">
      <c r="A1985" t="s">
        <v>4662</v>
      </c>
      <c r="B1985" t="s">
        <v>2101</v>
      </c>
      <c r="C1985" t="s">
        <v>4663</v>
      </c>
      <c r="D1985" t="s">
        <v>19</v>
      </c>
      <c r="E1985" t="s">
        <v>129</v>
      </c>
      <c r="F1985" t="s">
        <v>130</v>
      </c>
      <c r="G1985">
        <v>3</v>
      </c>
      <c r="H1985">
        <v>5283.44</v>
      </c>
      <c r="I1985">
        <v>0.1</v>
      </c>
      <c r="J1985">
        <v>14265.29</v>
      </c>
      <c r="K1985">
        <v>2882.15</v>
      </c>
      <c r="L1985">
        <v>2.3</v>
      </c>
      <c r="M1985" s="53">
        <v>45057</v>
      </c>
      <c r="N1985" t="s">
        <v>56</v>
      </c>
      <c r="O1985" t="s">
        <v>44</v>
      </c>
      <c r="P1985" s="54">
        <v>0.202039355666797</v>
      </c>
    </row>
    <row r="1986" spans="1:16">
      <c r="A1986" t="s">
        <v>4664</v>
      </c>
      <c r="B1986" t="s">
        <v>353</v>
      </c>
      <c r="C1986" t="s">
        <v>4665</v>
      </c>
      <c r="D1986" t="s">
        <v>53</v>
      </c>
      <c r="E1986" t="s">
        <v>95</v>
      </c>
      <c r="F1986" t="s">
        <v>524</v>
      </c>
      <c r="G1986">
        <v>5</v>
      </c>
      <c r="H1986">
        <v>18234.82</v>
      </c>
      <c r="I1986">
        <v>0.15</v>
      </c>
      <c r="J1986">
        <v>77497.99</v>
      </c>
      <c r="K1986">
        <v>9438.08</v>
      </c>
      <c r="L1986">
        <v>4.2</v>
      </c>
      <c r="M1986" s="53">
        <v>45263</v>
      </c>
      <c r="N1986" t="s">
        <v>56</v>
      </c>
      <c r="O1986" t="s">
        <v>73</v>
      </c>
      <c r="P1986" s="54">
        <v>0.121784835968004</v>
      </c>
    </row>
    <row r="1987" spans="1:16">
      <c r="A1987" t="s">
        <v>4666</v>
      </c>
      <c r="B1987" t="s">
        <v>3896</v>
      </c>
      <c r="C1987" t="s">
        <v>946</v>
      </c>
      <c r="D1987" t="s">
        <v>53</v>
      </c>
      <c r="E1987" t="s">
        <v>71</v>
      </c>
      <c r="F1987" t="s">
        <v>406</v>
      </c>
      <c r="G1987">
        <v>4</v>
      </c>
      <c r="H1987">
        <v>3757.99</v>
      </c>
      <c r="I1987">
        <v>0.05</v>
      </c>
      <c r="J1987">
        <v>14280.36</v>
      </c>
      <c r="K1987">
        <v>3271.92</v>
      </c>
      <c r="L1987">
        <v>2</v>
      </c>
      <c r="M1987" s="53">
        <v>45624</v>
      </c>
      <c r="N1987" t="s">
        <v>22</v>
      </c>
      <c r="O1987" t="s">
        <v>23</v>
      </c>
      <c r="P1987" s="54">
        <v>0.2291202742788</v>
      </c>
    </row>
    <row r="1988" spans="1:16">
      <c r="A1988" t="s">
        <v>4667</v>
      </c>
      <c r="B1988" t="s">
        <v>3434</v>
      </c>
      <c r="C1988" t="s">
        <v>4668</v>
      </c>
      <c r="D1988" t="s">
        <v>27</v>
      </c>
      <c r="E1988" t="s">
        <v>233</v>
      </c>
      <c r="F1988" t="s">
        <v>606</v>
      </c>
      <c r="G1988">
        <v>5</v>
      </c>
      <c r="H1988">
        <v>10170.14</v>
      </c>
      <c r="I1988">
        <v>0.05</v>
      </c>
      <c r="J1988">
        <v>48308.16</v>
      </c>
      <c r="K1988">
        <v>6125.41</v>
      </c>
      <c r="L1988">
        <v>4.3</v>
      </c>
      <c r="M1988" s="53">
        <v>45336</v>
      </c>
      <c r="N1988" t="s">
        <v>22</v>
      </c>
      <c r="O1988" t="s">
        <v>44</v>
      </c>
      <c r="P1988" s="54">
        <v>0.126798660930162</v>
      </c>
    </row>
    <row r="1989" spans="1:16">
      <c r="A1989" t="s">
        <v>4669</v>
      </c>
      <c r="B1989" t="s">
        <v>942</v>
      </c>
      <c r="C1989" t="s">
        <v>424</v>
      </c>
      <c r="D1989" t="s">
        <v>40</v>
      </c>
      <c r="E1989" t="s">
        <v>41</v>
      </c>
      <c r="F1989" t="s">
        <v>91</v>
      </c>
      <c r="G1989">
        <v>3</v>
      </c>
      <c r="H1989">
        <v>8185.85</v>
      </c>
      <c r="I1989">
        <v>0.15</v>
      </c>
      <c r="J1989">
        <v>20873.92</v>
      </c>
      <c r="K1989">
        <v>3608.91</v>
      </c>
      <c r="L1989">
        <v>3.4</v>
      </c>
      <c r="M1989" s="53">
        <v>45581</v>
      </c>
      <c r="N1989" t="s">
        <v>43</v>
      </c>
      <c r="O1989" t="s">
        <v>73</v>
      </c>
      <c r="P1989" s="54">
        <v>0.17289086094035</v>
      </c>
    </row>
    <row r="1990" spans="1:16">
      <c r="A1990" t="s">
        <v>4670</v>
      </c>
      <c r="B1990" t="s">
        <v>1231</v>
      </c>
      <c r="C1990" t="s">
        <v>4671</v>
      </c>
      <c r="D1990" t="s">
        <v>19</v>
      </c>
      <c r="E1990" t="s">
        <v>20</v>
      </c>
      <c r="F1990" t="s">
        <v>21</v>
      </c>
      <c r="G1990">
        <v>4</v>
      </c>
      <c r="H1990">
        <v>6595.5</v>
      </c>
      <c r="I1990">
        <v>0.2</v>
      </c>
      <c r="J1990">
        <v>21105.6</v>
      </c>
      <c r="K1990">
        <v>3168.63</v>
      </c>
      <c r="L1990">
        <v>2</v>
      </c>
      <c r="M1990" s="53">
        <v>45339</v>
      </c>
      <c r="N1990" t="s">
        <v>56</v>
      </c>
      <c r="O1990" t="s">
        <v>31</v>
      </c>
      <c r="P1990" s="54">
        <v>0.150132192403912</v>
      </c>
    </row>
    <row r="1991" spans="1:16">
      <c r="A1991" t="s">
        <v>4672</v>
      </c>
      <c r="B1991" t="s">
        <v>2876</v>
      </c>
      <c r="C1991" t="s">
        <v>4673</v>
      </c>
      <c r="D1991" t="s">
        <v>19</v>
      </c>
      <c r="E1991" t="s">
        <v>86</v>
      </c>
      <c r="F1991" t="s">
        <v>182</v>
      </c>
      <c r="G1991">
        <v>1</v>
      </c>
      <c r="H1991">
        <v>2381.82</v>
      </c>
      <c r="I1991">
        <v>0</v>
      </c>
      <c r="J1991">
        <v>2381.82</v>
      </c>
      <c r="K1991">
        <v>201.08</v>
      </c>
      <c r="L1991">
        <v>2.3</v>
      </c>
      <c r="M1991" s="53">
        <v>45499</v>
      </c>
      <c r="N1991" t="s">
        <v>56</v>
      </c>
      <c r="O1991" t="s">
        <v>57</v>
      </c>
      <c r="P1991" s="54">
        <v>0.0844228363184456</v>
      </c>
    </row>
    <row r="1992" spans="1:16">
      <c r="A1992" t="s">
        <v>4674</v>
      </c>
      <c r="B1992" t="s">
        <v>3121</v>
      </c>
      <c r="C1992" t="s">
        <v>4628</v>
      </c>
      <c r="D1992" t="s">
        <v>19</v>
      </c>
      <c r="E1992" t="s">
        <v>35</v>
      </c>
      <c r="F1992" t="s">
        <v>36</v>
      </c>
      <c r="G1992">
        <v>1</v>
      </c>
      <c r="H1992">
        <v>4970.37</v>
      </c>
      <c r="I1992">
        <v>0</v>
      </c>
      <c r="J1992">
        <v>4970.37</v>
      </c>
      <c r="K1992">
        <v>308.34</v>
      </c>
      <c r="L1992">
        <v>2.9</v>
      </c>
      <c r="M1992" s="53">
        <v>45295</v>
      </c>
      <c r="N1992" t="s">
        <v>56</v>
      </c>
      <c r="O1992" t="s">
        <v>23</v>
      </c>
      <c r="P1992" s="54">
        <v>0.0620356231025054</v>
      </c>
    </row>
    <row r="1993" spans="1:16">
      <c r="A1993" t="s">
        <v>4675</v>
      </c>
      <c r="B1993" t="s">
        <v>1603</v>
      </c>
      <c r="C1993" t="s">
        <v>4676</v>
      </c>
      <c r="D1993" t="s">
        <v>19</v>
      </c>
      <c r="E1993" t="s">
        <v>86</v>
      </c>
      <c r="F1993" t="s">
        <v>182</v>
      </c>
      <c r="G1993">
        <v>5</v>
      </c>
      <c r="H1993">
        <v>19286.48</v>
      </c>
      <c r="I1993">
        <v>0</v>
      </c>
      <c r="J1993">
        <v>96432.4</v>
      </c>
      <c r="K1993">
        <v>10444.7</v>
      </c>
      <c r="L1993">
        <v>3.6</v>
      </c>
      <c r="M1993" s="53">
        <v>45098</v>
      </c>
      <c r="N1993" t="s">
        <v>43</v>
      </c>
      <c r="O1993" t="s">
        <v>44</v>
      </c>
      <c r="P1993" s="54">
        <v>0.108311107055305</v>
      </c>
    </row>
    <row r="1994" spans="1:16">
      <c r="A1994" t="s">
        <v>4677</v>
      </c>
      <c r="B1994" t="s">
        <v>1569</v>
      </c>
      <c r="C1994" t="s">
        <v>4678</v>
      </c>
      <c r="D1994" t="s">
        <v>19</v>
      </c>
      <c r="E1994" t="s">
        <v>35</v>
      </c>
      <c r="F1994" t="s">
        <v>215</v>
      </c>
      <c r="G1994">
        <v>5</v>
      </c>
      <c r="H1994">
        <v>5076.11</v>
      </c>
      <c r="I1994">
        <v>0.2</v>
      </c>
      <c r="J1994">
        <v>20304.44</v>
      </c>
      <c r="K1994">
        <v>2649.21</v>
      </c>
      <c r="L1994">
        <v>2.3</v>
      </c>
      <c r="M1994" s="53">
        <v>45386</v>
      </c>
      <c r="N1994" t="s">
        <v>30</v>
      </c>
      <c r="O1994" t="s">
        <v>57</v>
      </c>
      <c r="P1994" s="54">
        <v>0.130474418403069</v>
      </c>
    </row>
    <row r="1995" spans="1:16">
      <c r="A1995" t="s">
        <v>4679</v>
      </c>
      <c r="B1995" t="s">
        <v>2066</v>
      </c>
      <c r="C1995" t="s">
        <v>4680</v>
      </c>
      <c r="D1995" t="s">
        <v>27</v>
      </c>
      <c r="E1995" t="s">
        <v>48</v>
      </c>
      <c r="F1995" t="s">
        <v>583</v>
      </c>
      <c r="G1995">
        <v>5</v>
      </c>
      <c r="H1995">
        <v>16642.07</v>
      </c>
      <c r="I1995">
        <v>0.2</v>
      </c>
      <c r="J1995">
        <v>66568.28</v>
      </c>
      <c r="K1995">
        <v>16390.73</v>
      </c>
      <c r="L1995">
        <v>2.8</v>
      </c>
      <c r="M1995" s="53">
        <v>45307</v>
      </c>
      <c r="N1995" t="s">
        <v>56</v>
      </c>
      <c r="O1995" t="s">
        <v>44</v>
      </c>
      <c r="P1995" s="54">
        <v>0.24622432786306</v>
      </c>
    </row>
    <row r="1996" spans="1:16">
      <c r="A1996" t="s">
        <v>4681</v>
      </c>
      <c r="B1996" t="s">
        <v>863</v>
      </c>
      <c r="C1996" t="s">
        <v>4682</v>
      </c>
      <c r="D1996" t="s">
        <v>27</v>
      </c>
      <c r="E1996" t="s">
        <v>48</v>
      </c>
      <c r="F1996" t="s">
        <v>77</v>
      </c>
      <c r="G1996">
        <v>3</v>
      </c>
      <c r="H1996">
        <v>15050.09</v>
      </c>
      <c r="I1996">
        <v>0.1</v>
      </c>
      <c r="J1996">
        <v>40635.24</v>
      </c>
      <c r="K1996">
        <v>9057.71</v>
      </c>
      <c r="L1996">
        <v>3.4</v>
      </c>
      <c r="M1996" s="53">
        <v>45046</v>
      </c>
      <c r="N1996" t="s">
        <v>22</v>
      </c>
      <c r="O1996" t="s">
        <v>73</v>
      </c>
      <c r="P1996" s="54">
        <v>0.222902830154319</v>
      </c>
    </row>
    <row r="1997" spans="1:16">
      <c r="A1997" t="s">
        <v>4683</v>
      </c>
      <c r="B1997" t="s">
        <v>4684</v>
      </c>
      <c r="C1997" t="s">
        <v>4685</v>
      </c>
      <c r="D1997" t="s">
        <v>19</v>
      </c>
      <c r="E1997" t="s">
        <v>20</v>
      </c>
      <c r="F1997" t="s">
        <v>134</v>
      </c>
      <c r="G1997">
        <v>2</v>
      </c>
      <c r="H1997">
        <v>5862.42</v>
      </c>
      <c r="I1997">
        <v>0.2</v>
      </c>
      <c r="J1997">
        <v>9379.87</v>
      </c>
      <c r="K1997">
        <v>1807.16</v>
      </c>
      <c r="L1997">
        <v>4</v>
      </c>
      <c r="M1997" s="53">
        <v>45099</v>
      </c>
      <c r="N1997" t="s">
        <v>43</v>
      </c>
      <c r="O1997" t="s">
        <v>31</v>
      </c>
      <c r="P1997" s="54">
        <v>0.192663650988766</v>
      </c>
    </row>
    <row r="1998" spans="1:16">
      <c r="A1998" t="s">
        <v>4686</v>
      </c>
      <c r="B1998" t="s">
        <v>4687</v>
      </c>
      <c r="C1998" t="s">
        <v>4688</v>
      </c>
      <c r="D1998" t="s">
        <v>19</v>
      </c>
      <c r="E1998" t="s">
        <v>129</v>
      </c>
      <c r="F1998" t="s">
        <v>130</v>
      </c>
      <c r="G1998">
        <v>4</v>
      </c>
      <c r="H1998">
        <v>3138.28</v>
      </c>
      <c r="I1998">
        <v>0.2</v>
      </c>
      <c r="J1998">
        <v>10042.5</v>
      </c>
      <c r="K1998">
        <v>1909.37</v>
      </c>
      <c r="L1998">
        <v>4.1</v>
      </c>
      <c r="M1998" s="53">
        <v>45518</v>
      </c>
      <c r="N1998" t="s">
        <v>22</v>
      </c>
      <c r="O1998" t="s">
        <v>73</v>
      </c>
      <c r="P1998" s="54">
        <v>0.190128951954195</v>
      </c>
    </row>
    <row r="1999" spans="1:16">
      <c r="A1999" t="s">
        <v>4689</v>
      </c>
      <c r="B1999" t="s">
        <v>2981</v>
      </c>
      <c r="C1999" t="s">
        <v>4690</v>
      </c>
      <c r="D1999" t="s">
        <v>19</v>
      </c>
      <c r="E1999" t="s">
        <v>20</v>
      </c>
      <c r="F1999" t="s">
        <v>454</v>
      </c>
      <c r="G1999">
        <v>2</v>
      </c>
      <c r="H1999">
        <v>13176.81</v>
      </c>
      <c r="I1999">
        <v>0.2</v>
      </c>
      <c r="J1999">
        <v>21082.9</v>
      </c>
      <c r="K1999">
        <v>1333.2</v>
      </c>
      <c r="L1999">
        <v>1.3</v>
      </c>
      <c r="M1999" s="53">
        <v>45508</v>
      </c>
      <c r="N1999" t="s">
        <v>22</v>
      </c>
      <c r="O1999" t="s">
        <v>31</v>
      </c>
      <c r="P1999" s="54">
        <v>0.0632360823226406</v>
      </c>
    </row>
    <row r="2000" spans="1:16">
      <c r="A2000" t="s">
        <v>4691</v>
      </c>
      <c r="B2000" t="s">
        <v>3345</v>
      </c>
      <c r="C2000" t="s">
        <v>3444</v>
      </c>
      <c r="D2000" t="s">
        <v>27</v>
      </c>
      <c r="E2000" t="s">
        <v>48</v>
      </c>
      <c r="F2000" t="s">
        <v>583</v>
      </c>
      <c r="G2000">
        <v>4</v>
      </c>
      <c r="H2000">
        <v>14607.09</v>
      </c>
      <c r="I2000">
        <v>0.2</v>
      </c>
      <c r="J2000">
        <v>46742.69</v>
      </c>
      <c r="K2000">
        <v>7770.87</v>
      </c>
      <c r="L2000">
        <v>4.9</v>
      </c>
      <c r="M2000" s="53">
        <v>45236</v>
      </c>
      <c r="N2000" t="s">
        <v>22</v>
      </c>
      <c r="O2000" t="s">
        <v>31</v>
      </c>
      <c r="P2000" s="54">
        <v>0.166247813294442</v>
      </c>
    </row>
    <row r="2001" spans="1:16">
      <c r="A2001" t="s">
        <v>4692</v>
      </c>
      <c r="B2001" t="s">
        <v>197</v>
      </c>
      <c r="C2001" t="s">
        <v>4693</v>
      </c>
      <c r="D2001" t="s">
        <v>53</v>
      </c>
      <c r="E2001" t="s">
        <v>71</v>
      </c>
      <c r="F2001" t="s">
        <v>72</v>
      </c>
      <c r="G2001">
        <v>3</v>
      </c>
      <c r="H2001">
        <v>937.77</v>
      </c>
      <c r="I2001">
        <v>0.2</v>
      </c>
      <c r="J2001">
        <v>2250.65</v>
      </c>
      <c r="K2001">
        <v>361.73</v>
      </c>
      <c r="L2001">
        <v>3.4</v>
      </c>
      <c r="M2001" s="53">
        <v>44976</v>
      </c>
      <c r="N2001" t="s">
        <v>43</v>
      </c>
      <c r="O2001" t="s">
        <v>73</v>
      </c>
      <c r="P2001" s="54">
        <v>0.16072245795659</v>
      </c>
    </row>
  </sheetData>
  <conditionalFormatting sqref="P2:P2001">
    <cfRule type="cellIs" dxfId="0" priority="1" operator="lessThan">
      <formula>0.1</formula>
    </cfRule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workbookViewId="0">
      <selection activeCell="A1" sqref="A1"/>
    </sheetView>
  </sheetViews>
  <sheetFormatPr defaultColWidth="9" defaultRowHeight="14.4" outlineLevelCol="2"/>
  <sheetData>
    <row r="1" spans="1:3">
      <c r="A1" t="s">
        <v>4694</v>
      </c>
      <c r="B1" t="s">
        <v>4694</v>
      </c>
      <c r="C1" t="s">
        <v>4694</v>
      </c>
    </row>
    <row r="2" spans="1:3">
      <c r="A2" t="s">
        <v>22</v>
      </c>
      <c r="B2" t="s">
        <v>53</v>
      </c>
      <c r="C2" t="s">
        <v>192</v>
      </c>
    </row>
    <row r="3" spans="1:3">
      <c r="A3" t="s">
        <v>56</v>
      </c>
      <c r="B3" t="s">
        <v>19</v>
      </c>
      <c r="C3" t="s">
        <v>320</v>
      </c>
    </row>
    <row r="4" spans="1:3">
      <c r="A4" t="s">
        <v>30</v>
      </c>
      <c r="B4" t="s">
        <v>27</v>
      </c>
      <c r="C4" t="s">
        <v>72</v>
      </c>
    </row>
    <row r="5" spans="1:3">
      <c r="A5" t="s">
        <v>43</v>
      </c>
      <c r="B5" t="s">
        <v>40</v>
      </c>
      <c r="C5" t="s">
        <v>313</v>
      </c>
    </row>
    <row r="6" spans="1:3">
      <c r="C6" t="s">
        <v>21</v>
      </c>
    </row>
    <row r="7" spans="1:3">
      <c r="C7" t="s">
        <v>134</v>
      </c>
    </row>
    <row r="8" spans="1:3">
      <c r="C8" t="s">
        <v>36</v>
      </c>
    </row>
    <row r="9" spans="1:3">
      <c r="C9" t="s">
        <v>105</v>
      </c>
    </row>
    <row r="10" spans="1:3">
      <c r="C10" t="s">
        <v>77</v>
      </c>
    </row>
    <row r="11" spans="1:3">
      <c r="C11" t="s">
        <v>182</v>
      </c>
    </row>
    <row r="12" spans="1:3">
      <c r="C12" t="s">
        <v>125</v>
      </c>
    </row>
    <row r="13" spans="1:3">
      <c r="C13" t="s">
        <v>406</v>
      </c>
    </row>
    <row r="14" spans="1:3">
      <c r="C14" t="s">
        <v>82</v>
      </c>
    </row>
    <row r="15" spans="1:3">
      <c r="C15" t="s">
        <v>150</v>
      </c>
    </row>
    <row r="16" spans="1:3">
      <c r="C16" t="s">
        <v>64</v>
      </c>
    </row>
    <row r="17" spans="3:3">
      <c r="C17" t="s">
        <v>245</v>
      </c>
    </row>
    <row r="18" spans="3:3">
      <c r="C18" t="s">
        <v>385</v>
      </c>
    </row>
    <row r="19" spans="3:3">
      <c r="C19" t="s">
        <v>665</v>
      </c>
    </row>
    <row r="20" spans="3:3">
      <c r="C20" t="s">
        <v>87</v>
      </c>
    </row>
    <row r="21" spans="3:3">
      <c r="C21" t="s">
        <v>241</v>
      </c>
    </row>
    <row r="22" spans="3:3">
      <c r="C22" t="s">
        <v>773</v>
      </c>
    </row>
    <row r="23" spans="3:3">
      <c r="C23" t="s">
        <v>345</v>
      </c>
    </row>
    <row r="24" spans="3:3">
      <c r="C24" t="s">
        <v>454</v>
      </c>
    </row>
    <row r="25" spans="3:3">
      <c r="C25" t="s">
        <v>91</v>
      </c>
    </row>
    <row r="26" spans="3:3">
      <c r="C26" t="s">
        <v>271</v>
      </c>
    </row>
    <row r="27" spans="3:3">
      <c r="C27" t="s">
        <v>55</v>
      </c>
    </row>
    <row r="28" spans="3:3">
      <c r="C28" t="s">
        <v>113</v>
      </c>
    </row>
    <row r="29" spans="3:3">
      <c r="C29" t="s">
        <v>362</v>
      </c>
    </row>
    <row r="30" spans="3:3">
      <c r="C30" t="s">
        <v>258</v>
      </c>
    </row>
    <row r="31" spans="3:3">
      <c r="C31" t="s">
        <v>109</v>
      </c>
    </row>
    <row r="32" spans="3:3">
      <c r="C32" t="s">
        <v>199</v>
      </c>
    </row>
    <row r="33" spans="3:3">
      <c r="C33" t="s">
        <v>524</v>
      </c>
    </row>
    <row r="34" spans="3:3">
      <c r="C34" t="s">
        <v>225</v>
      </c>
    </row>
    <row r="35" spans="3:3">
      <c r="C35" t="s">
        <v>215</v>
      </c>
    </row>
    <row r="36" spans="3:3">
      <c r="C36" t="s">
        <v>263</v>
      </c>
    </row>
    <row r="37" spans="3:3">
      <c r="C37" t="s">
        <v>96</v>
      </c>
    </row>
    <row r="38" spans="3:3">
      <c r="C38" t="s">
        <v>302</v>
      </c>
    </row>
    <row r="39" spans="3:3">
      <c r="C39" t="s">
        <v>101</v>
      </c>
    </row>
    <row r="40" spans="3:3">
      <c r="C40" t="s">
        <v>202</v>
      </c>
    </row>
    <row r="41" spans="3:3">
      <c r="C41" t="s">
        <v>175</v>
      </c>
    </row>
    <row r="42" spans="3:3">
      <c r="C42" t="s">
        <v>505</v>
      </c>
    </row>
    <row r="43" spans="3:3">
      <c r="C43" t="s">
        <v>118</v>
      </c>
    </row>
    <row r="44" spans="3:3">
      <c r="C44" t="s">
        <v>249</v>
      </c>
    </row>
    <row r="45" spans="3:3">
      <c r="C45" t="s">
        <v>583</v>
      </c>
    </row>
    <row r="46" spans="3:3">
      <c r="C46" t="s">
        <v>167</v>
      </c>
    </row>
    <row r="47" spans="3:3">
      <c r="C47" t="s">
        <v>154</v>
      </c>
    </row>
    <row r="48" spans="3:3">
      <c r="C48" t="s">
        <v>121</v>
      </c>
    </row>
    <row r="49" spans="3:3">
      <c r="C49" t="s">
        <v>42</v>
      </c>
    </row>
    <row r="50" spans="3:3">
      <c r="C50" t="s">
        <v>229</v>
      </c>
    </row>
    <row r="51" spans="3:3">
      <c r="C51" t="s">
        <v>306</v>
      </c>
    </row>
    <row r="52" spans="3:3">
      <c r="C52" t="s">
        <v>49</v>
      </c>
    </row>
    <row r="53" spans="3:3">
      <c r="C53" t="s">
        <v>267</v>
      </c>
    </row>
    <row r="54" spans="3:3">
      <c r="C54" t="s">
        <v>606</v>
      </c>
    </row>
    <row r="55" spans="3:3">
      <c r="C55" t="s">
        <v>358</v>
      </c>
    </row>
    <row r="56" spans="3:3">
      <c r="C56" t="s">
        <v>29</v>
      </c>
    </row>
    <row r="57" spans="3:3">
      <c r="C57" t="s">
        <v>130</v>
      </c>
    </row>
    <row r="58" spans="3:3">
      <c r="C58" t="s">
        <v>234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tabSelected="1" zoomScale="70" zoomScaleNormal="70" workbookViewId="0">
      <pane ySplit="2" topLeftCell="A3" activePane="bottomLeft" state="frozen"/>
      <selection/>
      <selection pane="bottomLeft" activeCell="D6" sqref="D6"/>
    </sheetView>
  </sheetViews>
  <sheetFormatPr defaultColWidth="9" defaultRowHeight="14.4"/>
  <cols>
    <col min="1" max="6" width="18" customWidth="1"/>
    <col min="7" max="7" width="21.9074074074074" customWidth="1"/>
    <col min="8" max="9" width="18" customWidth="1"/>
    <col min="11" max="11" width="19.5185185185185" customWidth="1"/>
    <col min="12" max="12" width="20.1574074074074" customWidth="1"/>
  </cols>
  <sheetData>
    <row r="1" spans="1:12">
      <c r="A1" s="15" t="s">
        <v>4695</v>
      </c>
      <c r="B1" s="16"/>
      <c r="D1" s="17" t="s">
        <v>4696</v>
      </c>
      <c r="E1" s="18" t="s">
        <v>4697</v>
      </c>
      <c r="F1" s="19" t="s">
        <v>4698</v>
      </c>
      <c r="G1" s="20" t="s">
        <v>4699</v>
      </c>
      <c r="H1" s="21" t="s">
        <v>4700</v>
      </c>
    </row>
    <row r="2" spans="1:12">
      <c r="A2" s="22" t="s">
        <v>13</v>
      </c>
      <c r="B2" s="23" t="s">
        <v>4694</v>
      </c>
      <c r="D2" s="24">
        <f>SUMPRODUCT((IF($B$2="All",1,--(Data!$N$2:$N$2001=$B$2)))*(IF($B$3="All",1,--(Data!$D$2:$D$2001=$B$3)))*(IF($B$4="All",1,--(Data!$F$2:$F$2001=$B$4)))*(Data!$J$2:$J$2001))</f>
        <v>55434462</v>
      </c>
      <c r="E2" s="25">
        <f>SUMPRODUCT((IF($B$2="All",1,--(Data!$N$2:$N$2001=$B$2)))*(IF($B$3="All",1,--(Data!$D$2:$D$2001=$B$3)))*(IF($B$4="All",1,--(Data!$F$2:$F$2001=$B$4)))*(Data!$K$2:$K$2001))</f>
        <v>8318986.01</v>
      </c>
      <c r="F2" s="26">
        <f>SUMPRODUCT((IF($B$2="All",1,--(Data!$N$2:$N$2001=$B$2)))*(IF($B$3="All",1,--(Data!$D$2:$D$2001=$B$3)))*(IF($B$4="All",1,--(Data!$F$2:$F$2001=$B$4))))</f>
        <v>1</v>
      </c>
      <c r="G2" s="27">
        <f>IF(F2=0,0,SUMPRODUCT((IF($B$2="All",1,--(Data!$N$2:$N$2001=$B$2)))*(IF($B$3="All",1,--(Data!$D$2:$D$2001=$B$3)))*(IF($B$4="All",1,--(Data!$F$2:$F$2001=$B$4)))*(Data!$L$2:$L$2001))/F2)</f>
        <v>5978.69999999999</v>
      </c>
      <c r="H2" s="28">
        <f>IF(D2=0,0,E2/D2)</f>
        <v>0.150068850853103</v>
      </c>
    </row>
    <row r="3" spans="1:12">
      <c r="A3" s="29" t="s">
        <v>3</v>
      </c>
      <c r="B3" s="23" t="s">
        <v>4694</v>
      </c>
    </row>
    <row r="4" spans="1:12">
      <c r="A4" s="30" t="s">
        <v>5</v>
      </c>
      <c r="B4" s="23" t="s">
        <v>4694</v>
      </c>
    </row>
    <row r="6" spans="1:12">
      <c r="A6" s="29" t="s">
        <v>3</v>
      </c>
      <c r="B6" s="31" t="s">
        <v>4</v>
      </c>
      <c r="C6" s="32" t="s">
        <v>4696</v>
      </c>
      <c r="E6" s="33" t="s">
        <v>5</v>
      </c>
      <c r="F6" s="34" t="s">
        <v>4699</v>
      </c>
      <c r="H6" s="35" t="s">
        <v>4701</v>
      </c>
      <c r="I6" s="36" t="s">
        <v>9</v>
      </c>
      <c r="K6" s="22" t="s">
        <v>4702</v>
      </c>
      <c r="L6" s="36" t="s">
        <v>4703</v>
      </c>
    </row>
    <row r="7" spans="1:12">
      <c r="A7" s="37" t="s">
        <v>53</v>
      </c>
      <c r="B7" s="37" t="s">
        <v>71</v>
      </c>
      <c r="C7" s="38">
        <f>SUMIFS(Data!$J:$J,Data!$D:$D,A7,Data!$E:$E,B7)</f>
        <v>3094564.87</v>
      </c>
      <c r="E7" s="39" t="s">
        <v>192</v>
      </c>
      <c r="F7" s="40">
        <f>AVERAGEIFS(Data!$L:$L,Data!$F:$F,E7)</f>
        <v>2.67611940298507</v>
      </c>
      <c r="H7" s="41">
        <v>44927</v>
      </c>
      <c r="I7" s="42">
        <f>SUMIFS(Data!$J:$J,Data!$M:$M,"&gt;="&amp;H7,Data!$M:$M,"&lt;"&amp;EDATE(H7,1))</f>
        <v>2435371.52</v>
      </c>
      <c r="K7" s="43" t="s">
        <v>51</v>
      </c>
      <c r="L7" s="44">
        <v>398268.79</v>
      </c>
    </row>
    <row r="8" spans="1:12">
      <c r="A8" s="37" t="s">
        <v>53</v>
      </c>
      <c r="B8" s="37" t="s">
        <v>100</v>
      </c>
      <c r="C8" s="38">
        <f>SUMIFS(Data!$J:$J,Data!$D:$D,A8,Data!$E:$E,B8)</f>
        <v>3584288.01</v>
      </c>
      <c r="E8" s="39" t="s">
        <v>320</v>
      </c>
      <c r="F8" s="40">
        <f>AVERAGEIFS(Data!$L:$L,Data!$F:$F,E8)</f>
        <v>3.01551724137931</v>
      </c>
      <c r="H8" s="41">
        <v>44958</v>
      </c>
      <c r="I8" s="42">
        <f>SUMIFS(Data!$J:$J,Data!$M:$M,"&gt;="&amp;H8,Data!$M:$M,"&lt;"&amp;EDATE(H8,1))</f>
        <v>2235738.74</v>
      </c>
      <c r="K8" s="43" t="s">
        <v>1211</v>
      </c>
      <c r="L8" s="44">
        <v>262819.02</v>
      </c>
    </row>
    <row r="9" spans="1:12">
      <c r="A9" s="37" t="s">
        <v>53</v>
      </c>
      <c r="B9" s="37" t="s">
        <v>54</v>
      </c>
      <c r="C9" s="38">
        <f>SUMIFS(Data!$J:$J,Data!$D:$D,A9,Data!$E:$E,B9)</f>
        <v>3667492.97</v>
      </c>
      <c r="E9" s="39" t="s">
        <v>72</v>
      </c>
      <c r="F9" s="40">
        <f>AVERAGEIFS(Data!$L:$L,Data!$F:$F,E9)</f>
        <v>2.97142857142857</v>
      </c>
      <c r="H9" s="41">
        <v>44986</v>
      </c>
      <c r="I9" s="42">
        <f>SUMIFS(Data!$J:$J,Data!$M:$M,"&gt;="&amp;H9,Data!$M:$M,"&lt;"&amp;EDATE(H9,1))</f>
        <v>1915572.26</v>
      </c>
      <c r="K9" s="43" t="s">
        <v>1309</v>
      </c>
      <c r="L9" s="44">
        <v>245909.3</v>
      </c>
    </row>
    <row r="10" spans="1:12">
      <c r="A10" s="37" t="s">
        <v>53</v>
      </c>
      <c r="B10" s="37" t="s">
        <v>95</v>
      </c>
      <c r="C10" s="38">
        <f>SUMIFS(Data!$J:$J,Data!$D:$D,A10,Data!$E:$E,B10)</f>
        <v>3590798.75</v>
      </c>
      <c r="E10" s="39" t="s">
        <v>313</v>
      </c>
      <c r="F10" s="40">
        <f>AVERAGEIFS(Data!$L:$L,Data!$F:$F,E10)</f>
        <v>3.21034482758621</v>
      </c>
      <c r="H10" s="41">
        <v>45017</v>
      </c>
      <c r="I10" s="42">
        <f>SUMIFS(Data!$J:$J,Data!$M:$M,"&gt;="&amp;H10,Data!$M:$M,"&lt;"&amp;EDATE(H10,1))</f>
        <v>2438872.89</v>
      </c>
      <c r="K10" s="43" t="s">
        <v>207</v>
      </c>
      <c r="L10" s="44">
        <v>232551.28</v>
      </c>
    </row>
    <row r="11" spans="1:12">
      <c r="A11" s="37" t="s">
        <v>19</v>
      </c>
      <c r="B11" s="37" t="s">
        <v>35</v>
      </c>
      <c r="C11" s="38">
        <f>SUMIFS(Data!$J:$J,Data!$D:$D,A11,Data!$E:$E,B11)</f>
        <v>3958378.64</v>
      </c>
      <c r="E11" s="39" t="s">
        <v>21</v>
      </c>
      <c r="F11" s="40">
        <f>AVERAGEIFS(Data!$L:$L,Data!$F:$F,E11)</f>
        <v>3.0225</v>
      </c>
      <c r="H11" s="41">
        <v>45047</v>
      </c>
      <c r="I11" s="42">
        <f>SUMIFS(Data!$J:$J,Data!$M:$M,"&gt;="&amp;H11,Data!$M:$M,"&lt;"&amp;EDATE(H11,1))</f>
        <v>2143942.79</v>
      </c>
      <c r="K11" s="43" t="s">
        <v>567</v>
      </c>
      <c r="L11" s="44">
        <v>229472.59</v>
      </c>
    </row>
    <row r="12" spans="1:12">
      <c r="A12" s="37" t="s">
        <v>19</v>
      </c>
      <c r="B12" s="37" t="s">
        <v>20</v>
      </c>
      <c r="C12" s="38">
        <f>SUMIFS(Data!$J:$J,Data!$D:$D,A12,Data!$E:$E,B12)</f>
        <v>3189784.66</v>
      </c>
      <c r="E12" s="39" t="s">
        <v>134</v>
      </c>
      <c r="F12" s="40">
        <f>AVERAGEIFS(Data!$L:$L,Data!$F:$F,E12)</f>
        <v>3.3375</v>
      </c>
      <c r="H12" s="41">
        <v>45078</v>
      </c>
      <c r="I12" s="42">
        <f>SUMIFS(Data!$J:$J,Data!$M:$M,"&gt;="&amp;H12,Data!$M:$M,"&lt;"&amp;EDATE(H12,1))</f>
        <v>2302547.74</v>
      </c>
      <c r="K12" s="43" t="s">
        <v>673</v>
      </c>
      <c r="L12" s="44">
        <v>218723.18</v>
      </c>
    </row>
    <row r="13" spans="1:12">
      <c r="A13" s="37" t="s">
        <v>19</v>
      </c>
      <c r="B13" s="37" t="s">
        <v>86</v>
      </c>
      <c r="C13" s="38">
        <f>SUMIFS(Data!$J:$J,Data!$D:$D,A13,Data!$E:$E,B13)</f>
        <v>2789532.63</v>
      </c>
      <c r="E13" s="39" t="s">
        <v>36</v>
      </c>
      <c r="F13" s="40">
        <f>AVERAGEIFS(Data!$L:$L,Data!$F:$F,E13)</f>
        <v>2.64722222222222</v>
      </c>
      <c r="H13" s="41">
        <v>45108</v>
      </c>
      <c r="I13" s="42">
        <f>SUMIFS(Data!$J:$J,Data!$M:$M,"&gt;="&amp;H13,Data!$M:$M,"&lt;"&amp;EDATE(H13,1))</f>
        <v>2296812.81</v>
      </c>
      <c r="K13" s="43" t="s">
        <v>627</v>
      </c>
      <c r="L13" s="44">
        <v>218698.02</v>
      </c>
    </row>
    <row r="14" spans="1:12">
      <c r="A14" s="37" t="s">
        <v>19</v>
      </c>
      <c r="B14" s="37" t="s">
        <v>129</v>
      </c>
      <c r="C14" s="38">
        <f>SUMIFS(Data!$J:$J,Data!$D:$D,A14,Data!$E:$E,B14)</f>
        <v>3702815.84</v>
      </c>
      <c r="E14" s="39" t="s">
        <v>105</v>
      </c>
      <c r="F14" s="40">
        <f>AVERAGEIFS(Data!$L:$L,Data!$F:$F,E14)</f>
        <v>3.0741935483871</v>
      </c>
      <c r="H14" s="41">
        <v>45139</v>
      </c>
      <c r="I14" s="42">
        <f>SUMIFS(Data!$J:$J,Data!$M:$M,"&gt;="&amp;H14,Data!$M:$M,"&lt;"&amp;EDATE(H14,1))</f>
        <v>1980991.23</v>
      </c>
      <c r="K14" s="43" t="s">
        <v>546</v>
      </c>
      <c r="L14" s="44">
        <v>209506.99</v>
      </c>
    </row>
    <row r="15" spans="1:12">
      <c r="A15" s="37" t="s">
        <v>27</v>
      </c>
      <c r="B15" s="37" t="s">
        <v>233</v>
      </c>
      <c r="C15" s="38">
        <f>SUMIFS(Data!$J:$J,Data!$D:$D,A15,Data!$E:$E,B15)</f>
        <v>2989981.9</v>
      </c>
      <c r="E15" s="39" t="s">
        <v>77</v>
      </c>
      <c r="F15" s="40">
        <f>AVERAGEIFS(Data!$L:$L,Data!$F:$F,E15)</f>
        <v>3.18148148148148</v>
      </c>
      <c r="H15" s="41">
        <v>45170</v>
      </c>
      <c r="I15" s="42">
        <f>SUMIFS(Data!$J:$J,Data!$M:$M,"&gt;="&amp;H15,Data!$M:$M,"&lt;"&amp;EDATE(H15,1))</f>
        <v>2553288.67</v>
      </c>
      <c r="K15" s="43" t="s">
        <v>273</v>
      </c>
      <c r="L15" s="44">
        <v>208742.62</v>
      </c>
    </row>
    <row r="16" spans="1:12">
      <c r="A16" s="37" t="s">
        <v>27</v>
      </c>
      <c r="B16" s="37" t="s">
        <v>28</v>
      </c>
      <c r="C16" s="38">
        <f>SUMIFS(Data!$J:$J,Data!$D:$D,A16,Data!$E:$E,B16)</f>
        <v>4076618.02</v>
      </c>
      <c r="E16" s="39" t="s">
        <v>182</v>
      </c>
      <c r="F16" s="40">
        <f>AVERAGEIFS(Data!$L:$L,Data!$F:$F,E16)</f>
        <v>2.67586206896552</v>
      </c>
      <c r="H16" s="41">
        <v>45200</v>
      </c>
      <c r="I16" s="42">
        <f>SUMIFS(Data!$J:$J,Data!$M:$M,"&gt;="&amp;H16,Data!$M:$M,"&lt;"&amp;EDATE(H16,1))</f>
        <v>2592550.34</v>
      </c>
      <c r="K16" s="43" t="s">
        <v>998</v>
      </c>
      <c r="L16" s="44">
        <v>207609.83</v>
      </c>
    </row>
    <row r="17" spans="1:9">
      <c r="A17" s="37" t="s">
        <v>27</v>
      </c>
      <c r="B17" s="37" t="s">
        <v>117</v>
      </c>
      <c r="C17" s="38">
        <f>SUMIFS(Data!$J:$J,Data!$D:$D,A17,Data!$E:$E,B17)</f>
        <v>3826204.84</v>
      </c>
      <c r="E17" s="39" t="s">
        <v>125</v>
      </c>
      <c r="F17" s="40">
        <f>AVERAGEIFS(Data!$L:$L,Data!$F:$F,E17)</f>
        <v>2.60588235294118</v>
      </c>
      <c r="H17" s="41">
        <v>45231</v>
      </c>
      <c r="I17" s="42">
        <f>SUMIFS(Data!$J:$J,Data!$M:$M,"&gt;="&amp;H17,Data!$M:$M,"&lt;"&amp;EDATE(H17,1))</f>
        <v>2512048.85</v>
      </c>
    </row>
    <row r="18" spans="1:9">
      <c r="A18" s="37" t="s">
        <v>27</v>
      </c>
      <c r="B18" s="37" t="s">
        <v>48</v>
      </c>
      <c r="C18" s="38">
        <f>SUMIFS(Data!$J:$J,Data!$D:$D,A18,Data!$E:$E,B18)</f>
        <v>3306858.13</v>
      </c>
      <c r="E18" s="39" t="s">
        <v>406</v>
      </c>
      <c r="F18" s="40">
        <f>AVERAGEIFS(Data!$L:$L,Data!$F:$F,E18)</f>
        <v>2.98846153846154</v>
      </c>
      <c r="H18" s="41">
        <v>45261</v>
      </c>
      <c r="I18" s="42">
        <f>SUMIFS(Data!$J:$J,Data!$M:$M,"&gt;="&amp;H18,Data!$M:$M,"&lt;"&amp;EDATE(H18,1))</f>
        <v>2647421.65</v>
      </c>
    </row>
    <row r="19" spans="1:9">
      <c r="A19" s="37" t="s">
        <v>40</v>
      </c>
      <c r="B19" s="37" t="s">
        <v>41</v>
      </c>
      <c r="C19" s="38">
        <f>SUMIFS(Data!$J:$J,Data!$D:$D,A19,Data!$E:$E,B19)</f>
        <v>3114458.7</v>
      </c>
      <c r="E19" s="39" t="s">
        <v>82</v>
      </c>
      <c r="F19" s="40">
        <f>AVERAGEIFS(Data!$L:$L,Data!$F:$F,E19)</f>
        <v>3.07575757575758</v>
      </c>
      <c r="H19" s="41">
        <v>45292</v>
      </c>
      <c r="I19" s="42">
        <f>SUMIFS(Data!$J:$J,Data!$M:$M,"&gt;="&amp;H19,Data!$M:$M,"&lt;"&amp;EDATE(H19,1))</f>
        <v>2858516.96</v>
      </c>
    </row>
    <row r="20" spans="1:9">
      <c r="A20" s="37" t="s">
        <v>40</v>
      </c>
      <c r="B20" s="37" t="s">
        <v>81</v>
      </c>
      <c r="C20" s="38">
        <f>SUMIFS(Data!$J:$J,Data!$D:$D,A20,Data!$E:$E,B20)</f>
        <v>3199439.1</v>
      </c>
      <c r="E20" s="39" t="s">
        <v>150</v>
      </c>
      <c r="F20" s="40">
        <f>AVERAGEIFS(Data!$L:$L,Data!$F:$F,E20)</f>
        <v>2.99090909090909</v>
      </c>
      <c r="H20" s="41">
        <v>45323</v>
      </c>
      <c r="I20" s="42">
        <f>SUMIFS(Data!$J:$J,Data!$M:$M,"&gt;="&amp;H20,Data!$M:$M,"&lt;"&amp;EDATE(H20,1))</f>
        <v>2660784.1</v>
      </c>
    </row>
    <row r="21" spans="1:9">
      <c r="A21" s="37" t="s">
        <v>40</v>
      </c>
      <c r="B21" s="37" t="s">
        <v>262</v>
      </c>
      <c r="C21" s="38">
        <f>SUMIFS(Data!$J:$J,Data!$D:$D,A21,Data!$E:$E,B21)</f>
        <v>3830032.77</v>
      </c>
      <c r="E21" s="39" t="s">
        <v>64</v>
      </c>
      <c r="F21" s="40">
        <f>AVERAGEIFS(Data!$L:$L,Data!$F:$F,E21)</f>
        <v>2.99189189189189</v>
      </c>
      <c r="H21" s="41">
        <v>45352</v>
      </c>
      <c r="I21" s="42">
        <f>SUMIFS(Data!$J:$J,Data!$M:$M,"&gt;="&amp;H21,Data!$M:$M,"&lt;"&amp;EDATE(H21,1))</f>
        <v>2359002.54</v>
      </c>
    </row>
    <row r="22" spans="1:9">
      <c r="A22" s="37" t="s">
        <v>40</v>
      </c>
      <c r="B22" s="37" t="s">
        <v>174</v>
      </c>
      <c r="C22" s="38">
        <f>SUMIFS(Data!$J:$J,Data!$D:$D,A22,Data!$E:$E,B22)</f>
        <v>3513212.17</v>
      </c>
      <c r="E22" s="39" t="s">
        <v>245</v>
      </c>
      <c r="F22" s="40">
        <f>AVERAGEIFS(Data!$L:$L,Data!$F:$F,E22)</f>
        <v>3.17407407407407</v>
      </c>
      <c r="H22" s="41">
        <v>45383</v>
      </c>
      <c r="I22" s="42">
        <f>SUMIFS(Data!$J:$J,Data!$M:$M,"&gt;="&amp;H22,Data!$M:$M,"&lt;"&amp;EDATE(H22,1))</f>
        <v>1940900.51</v>
      </c>
    </row>
    <row r="23" spans="1:9">
      <c r="E23" s="39" t="s">
        <v>385</v>
      </c>
      <c r="F23" s="40">
        <f>AVERAGEIFS(Data!$L:$L,Data!$F:$F,E23)</f>
        <v>2.71944444444444</v>
      </c>
      <c r="H23" s="41">
        <v>45413</v>
      </c>
      <c r="I23" s="42">
        <f>SUMIFS(Data!$J:$J,Data!$M:$M,"&gt;="&amp;H23,Data!$M:$M,"&lt;"&amp;EDATE(H23,1))</f>
        <v>2430244.64</v>
      </c>
    </row>
    <row r="24" spans="1:9">
      <c r="E24" s="39" t="s">
        <v>665</v>
      </c>
      <c r="F24" s="40">
        <f>AVERAGEIFS(Data!$L:$L,Data!$F:$F,E24)</f>
        <v>3.4</v>
      </c>
      <c r="H24" s="41">
        <v>45444</v>
      </c>
      <c r="I24" s="42">
        <f>SUMIFS(Data!$J:$J,Data!$M:$M,"&gt;="&amp;H24,Data!$M:$M,"&lt;"&amp;EDATE(H24,1))</f>
        <v>2189313.79</v>
      </c>
    </row>
    <row r="25" spans="1:9">
      <c r="E25" s="39" t="s">
        <v>87</v>
      </c>
      <c r="F25" s="40">
        <f>AVERAGEIFS(Data!$L:$L,Data!$F:$F,E25)</f>
        <v>2.96428571428571</v>
      </c>
      <c r="H25" s="41">
        <v>45474</v>
      </c>
      <c r="I25" s="42">
        <f>SUMIFS(Data!$J:$J,Data!$M:$M,"&gt;="&amp;H25,Data!$M:$M,"&lt;"&amp;EDATE(H25,1))</f>
        <v>1715218.63</v>
      </c>
    </row>
    <row r="26" spans="1:9">
      <c r="E26" s="39" t="s">
        <v>241</v>
      </c>
      <c r="F26" s="40">
        <f>AVERAGEIFS(Data!$L:$L,Data!$F:$F,E26)</f>
        <v>3.13225806451613</v>
      </c>
      <c r="H26" s="41">
        <v>45505</v>
      </c>
      <c r="I26" s="42">
        <f>SUMIFS(Data!$J:$J,Data!$M:$M,"&gt;="&amp;H26,Data!$M:$M,"&lt;"&amp;EDATE(H26,1))</f>
        <v>2020407.91</v>
      </c>
    </row>
    <row r="27" spans="1:9">
      <c r="E27" s="39" t="s">
        <v>773</v>
      </c>
      <c r="F27" s="40">
        <f>AVERAGEIFS(Data!$L:$L,Data!$F:$F,E27)</f>
        <v>2.89655172413793</v>
      </c>
      <c r="H27" s="41">
        <v>45536</v>
      </c>
      <c r="I27" s="42">
        <f>SUMIFS(Data!$J:$J,Data!$M:$M,"&gt;="&amp;H27,Data!$M:$M,"&lt;"&amp;EDATE(H27,1))</f>
        <v>2686924.72</v>
      </c>
    </row>
    <row r="28" spans="1:9">
      <c r="B28" s="45" t="s">
        <v>4704</v>
      </c>
      <c r="C28" s="46" t="s">
        <v>4696</v>
      </c>
      <c r="E28" s="39" t="s">
        <v>345</v>
      </c>
      <c r="F28" s="40">
        <f>AVERAGEIFS(Data!$L:$L,Data!$F:$F,E28)</f>
        <v>2.86</v>
      </c>
      <c r="H28" s="41">
        <v>45566</v>
      </c>
      <c r="I28" s="42">
        <f>SUMIFS(Data!$J:$J,Data!$M:$M,"&gt;="&amp;H28,Data!$M:$M,"&lt;"&amp;EDATE(H28,1))</f>
        <v>1939273.58</v>
      </c>
    </row>
    <row r="29" spans="1:9">
      <c r="B29" s="47" t="s">
        <v>57</v>
      </c>
      <c r="C29" s="48">
        <v>11952568.01</v>
      </c>
      <c r="E29" s="39" t="s">
        <v>454</v>
      </c>
      <c r="F29" s="40">
        <f>AVERAGEIFS(Data!$L:$L,Data!$F:$F,E29)</f>
        <v>2.67619047619048</v>
      </c>
      <c r="H29" s="41">
        <v>45597</v>
      </c>
      <c r="I29" s="42">
        <f>SUMIFS(Data!$J:$J,Data!$M:$M,"&gt;="&amp;H29,Data!$M:$M,"&lt;"&amp;EDATE(H29,1))</f>
        <v>2591123.42</v>
      </c>
    </row>
    <row r="30" spans="1:9">
      <c r="A30" s="49"/>
      <c r="B30" s="47" t="s">
        <v>73</v>
      </c>
      <c r="C30" s="48">
        <v>11349279.32</v>
      </c>
      <c r="E30" s="39" t="s">
        <v>91</v>
      </c>
      <c r="F30" s="40">
        <f>AVERAGEIFS(Data!$L:$L,Data!$F:$F,E30)</f>
        <v>2.612</v>
      </c>
      <c r="H30" s="41">
        <v>45627</v>
      </c>
      <c r="I30" s="42">
        <f>SUMIFS(Data!$J:$J,Data!$M:$M,"&gt;="&amp;H30,Data!$M:$M,"&lt;"&amp;EDATE(H30,1))</f>
        <v>1987591.71</v>
      </c>
    </row>
    <row r="31" spans="1:9">
      <c r="A31" s="50"/>
      <c r="B31" s="47" t="s">
        <v>23</v>
      </c>
      <c r="C31" s="48">
        <v>10768712.38</v>
      </c>
      <c r="E31" s="39" t="s">
        <v>271</v>
      </c>
      <c r="F31" s="40">
        <f>AVERAGEIFS(Data!$L:$L,Data!$F:$F,E31)</f>
        <v>2.84406779661017</v>
      </c>
    </row>
    <row r="32" spans="1:9">
      <c r="A32" s="50"/>
      <c r="B32" s="47" t="s">
        <v>31</v>
      </c>
      <c r="C32" s="48">
        <v>10694390.42</v>
      </c>
      <c r="E32" s="39" t="s">
        <v>55</v>
      </c>
      <c r="F32" s="40">
        <f>AVERAGEIFS(Data!$L:$L,Data!$F:$F,E32)</f>
        <v>2.90571428571429</v>
      </c>
    </row>
    <row r="33" spans="1:6">
      <c r="A33" s="50"/>
      <c r="B33" s="47" t="s">
        <v>44</v>
      </c>
      <c r="C33" s="48">
        <v>10669511.87</v>
      </c>
      <c r="E33" s="39" t="s">
        <v>113</v>
      </c>
      <c r="F33" s="40">
        <f>AVERAGEIFS(Data!$L:$L,Data!$F:$F,E33)</f>
        <v>3.01875</v>
      </c>
    </row>
    <row r="34" spans="1:6">
      <c r="A34" s="50"/>
      <c r="B34" s="51"/>
      <c r="E34" s="39" t="s">
        <v>362</v>
      </c>
      <c r="F34" s="40">
        <f>AVERAGEIFS(Data!$L:$L,Data!$F:$F,E34)</f>
        <v>2.764</v>
      </c>
    </row>
    <row r="35" spans="1:6">
      <c r="A35" s="50"/>
      <c r="B35" s="51"/>
      <c r="E35" s="39" t="s">
        <v>258</v>
      </c>
      <c r="F35" s="40">
        <f>AVERAGEIFS(Data!$L:$L,Data!$F:$F,E35)</f>
        <v>3.2</v>
      </c>
    </row>
    <row r="36" spans="1:6">
      <c r="E36" s="39" t="s">
        <v>109</v>
      </c>
      <c r="F36" s="40">
        <f>AVERAGEIFS(Data!$L:$L,Data!$F:$F,E36)</f>
        <v>2.84411764705882</v>
      </c>
    </row>
    <row r="37" spans="1:6">
      <c r="E37" s="39" t="s">
        <v>199</v>
      </c>
      <c r="F37" s="40">
        <f>AVERAGEIFS(Data!$L:$L,Data!$F:$F,E37)</f>
        <v>3.16666666666667</v>
      </c>
    </row>
    <row r="38" spans="1:6">
      <c r="E38" s="39" t="s">
        <v>524</v>
      </c>
      <c r="F38" s="40">
        <f>AVERAGEIFS(Data!$L:$L,Data!$F:$F,E38)</f>
        <v>3.05</v>
      </c>
    </row>
    <row r="39" spans="1:6">
      <c r="E39" s="39" t="s">
        <v>225</v>
      </c>
      <c r="F39" s="40">
        <f>AVERAGEIFS(Data!$L:$L,Data!$F:$F,E39)</f>
        <v>2.91584158415842</v>
      </c>
    </row>
    <row r="40" spans="1:6">
      <c r="E40" s="39" t="s">
        <v>215</v>
      </c>
      <c r="F40" s="40">
        <f>AVERAGEIFS(Data!$L:$L,Data!$F:$F,E40)</f>
        <v>2.89677419354839</v>
      </c>
    </row>
    <row r="41" spans="1:6">
      <c r="E41" s="39" t="s">
        <v>263</v>
      </c>
      <c r="F41" s="40">
        <f>AVERAGEIFS(Data!$L:$L,Data!$F:$F,E41)</f>
        <v>3.4</v>
      </c>
    </row>
    <row r="42" spans="1:6">
      <c r="E42" s="39" t="s">
        <v>96</v>
      </c>
      <c r="F42" s="40">
        <f>AVERAGEIFS(Data!$L:$L,Data!$F:$F,E42)</f>
        <v>2.99583333333333</v>
      </c>
    </row>
    <row r="43" spans="1:6">
      <c r="E43" s="39" t="s">
        <v>302</v>
      </c>
      <c r="F43" s="40">
        <f>AVERAGEIFS(Data!$L:$L,Data!$F:$F,E43)</f>
        <v>3.06060606060606</v>
      </c>
    </row>
    <row r="44" spans="1:6">
      <c r="E44" s="39" t="s">
        <v>101</v>
      </c>
      <c r="F44" s="40">
        <f>AVERAGEIFS(Data!$L:$L,Data!$F:$F,E44)</f>
        <v>2.82258064516129</v>
      </c>
    </row>
    <row r="45" spans="1:6">
      <c r="E45" s="39" t="s">
        <v>202</v>
      </c>
      <c r="F45" s="40">
        <f>AVERAGEIFS(Data!$L:$L,Data!$F:$F,E45)</f>
        <v>3.17428571428571</v>
      </c>
    </row>
    <row r="46" spans="1:6">
      <c r="E46" s="39" t="s">
        <v>175</v>
      </c>
      <c r="F46" s="40">
        <f>AVERAGEIFS(Data!$L:$L,Data!$F:$F,E46)</f>
        <v>2.84666666666667</v>
      </c>
    </row>
    <row r="47" spans="1:6">
      <c r="E47" s="39" t="s">
        <v>505</v>
      </c>
      <c r="F47" s="40">
        <f>AVERAGEIFS(Data!$L:$L,Data!$F:$F,E47)</f>
        <v>3.14444444444444</v>
      </c>
    </row>
    <row r="48" spans="1:6">
      <c r="E48" s="39" t="s">
        <v>118</v>
      </c>
      <c r="F48" s="40">
        <f>AVERAGEIFS(Data!$L:$L,Data!$F:$F,E48)</f>
        <v>3.02962962962963</v>
      </c>
    </row>
    <row r="49" spans="5:6">
      <c r="E49" s="39" t="s">
        <v>249</v>
      </c>
      <c r="F49" s="40">
        <f>AVERAGEIFS(Data!$L:$L,Data!$F:$F,E49)</f>
        <v>2.87</v>
      </c>
    </row>
    <row r="50" spans="5:6">
      <c r="E50" s="39" t="s">
        <v>583</v>
      </c>
      <c r="F50" s="40">
        <f>AVERAGEIFS(Data!$L:$L,Data!$F:$F,E50)</f>
        <v>3.34615384615385</v>
      </c>
    </row>
    <row r="51" spans="5:6">
      <c r="E51" s="39" t="s">
        <v>167</v>
      </c>
      <c r="F51" s="40">
        <f>AVERAGEIFS(Data!$L:$L,Data!$F:$F,E51)</f>
        <v>3.05428571428571</v>
      </c>
    </row>
    <row r="52" spans="5:6">
      <c r="E52" s="39" t="s">
        <v>154</v>
      </c>
      <c r="F52" s="40">
        <f>AVERAGEIFS(Data!$L:$L,Data!$F:$F,E52)</f>
        <v>2.764</v>
      </c>
    </row>
    <row r="53" spans="5:6">
      <c r="E53" s="39" t="s">
        <v>121</v>
      </c>
      <c r="F53" s="40">
        <f>AVERAGEIFS(Data!$L:$L,Data!$F:$F,E53)</f>
        <v>3.07837837837838</v>
      </c>
    </row>
    <row r="54" spans="5:6">
      <c r="E54" s="39" t="s">
        <v>42</v>
      </c>
      <c r="F54" s="40">
        <f>AVERAGEIFS(Data!$L:$L,Data!$F:$F,E54)</f>
        <v>3.01379310344828</v>
      </c>
    </row>
    <row r="55" spans="5:6">
      <c r="E55" s="39" t="s">
        <v>229</v>
      </c>
      <c r="F55" s="40">
        <f>AVERAGEIFS(Data!$L:$L,Data!$F:$F,E55)</f>
        <v>2.86153846153846</v>
      </c>
    </row>
    <row r="56" spans="5:6">
      <c r="E56" s="39" t="s">
        <v>306</v>
      </c>
      <c r="F56" s="40">
        <f>AVERAGEIFS(Data!$L:$L,Data!$F:$F,E56)</f>
        <v>3.25172413793103</v>
      </c>
    </row>
    <row r="57" spans="5:6">
      <c r="E57" s="39" t="s">
        <v>49</v>
      </c>
      <c r="F57" s="40">
        <f>AVERAGEIFS(Data!$L:$L,Data!$F:$F,E57)</f>
        <v>3.23428571428571</v>
      </c>
    </row>
    <row r="58" spans="5:6">
      <c r="E58" s="39" t="s">
        <v>267</v>
      </c>
      <c r="F58" s="40">
        <f>AVERAGEIFS(Data!$L:$L,Data!$F:$F,E58)</f>
        <v>2.8875</v>
      </c>
    </row>
    <row r="59" spans="5:6">
      <c r="E59" s="39" t="s">
        <v>606</v>
      </c>
      <c r="F59" s="40">
        <f>AVERAGEIFS(Data!$L:$L,Data!$F:$F,E59)</f>
        <v>3.18</v>
      </c>
    </row>
    <row r="60" spans="5:6">
      <c r="E60" s="39" t="s">
        <v>358</v>
      </c>
      <c r="F60" s="40">
        <f>AVERAGEIFS(Data!$L:$L,Data!$F:$F,E60)</f>
        <v>2.809375</v>
      </c>
    </row>
    <row r="61" spans="5:6">
      <c r="E61" s="39" t="s">
        <v>29</v>
      </c>
      <c r="F61" s="40">
        <f>AVERAGEIFS(Data!$L:$L,Data!$F:$F,E61)</f>
        <v>2.94242424242424</v>
      </c>
    </row>
    <row r="62" spans="5:6">
      <c r="E62" s="39" t="s">
        <v>130</v>
      </c>
      <c r="F62" s="40">
        <f>AVERAGEIFS(Data!$L:$L,Data!$F:$F,E62)</f>
        <v>3.01290322580645</v>
      </c>
    </row>
    <row r="63" spans="5:6">
      <c r="E63" s="39" t="s">
        <v>234</v>
      </c>
      <c r="F63" s="40">
        <f>AVERAGEIFS(Data!$L:$L,Data!$F:$F,E63)</f>
        <v>3.21290322580645</v>
      </c>
    </row>
    <row r="66" spans="1:6">
      <c r="A66" s="50"/>
      <c r="B66" s="51"/>
      <c r="E66" s="50"/>
      <c r="F66" s="51"/>
    </row>
    <row r="67" spans="1:6">
      <c r="A67" s="50"/>
      <c r="B67" s="51"/>
      <c r="E67" s="50"/>
      <c r="F67" s="51"/>
    </row>
    <row r="68" spans="1:6">
      <c r="A68" s="50"/>
      <c r="B68" s="51"/>
      <c r="E68" s="50"/>
      <c r="F68" s="51"/>
    </row>
    <row r="69" spans="1:6">
      <c r="A69" s="50"/>
      <c r="B69" s="51"/>
      <c r="E69" s="50"/>
      <c r="F69" s="51"/>
    </row>
    <row r="70" spans="1:6">
      <c r="A70" s="50"/>
      <c r="B70" s="51"/>
      <c r="E70" s="50"/>
      <c r="F70" s="51"/>
    </row>
    <row r="71" spans="1:6">
      <c r="A71" s="50"/>
      <c r="B71" s="51"/>
    </row>
    <row r="72" spans="1:6">
      <c r="A72" s="50"/>
      <c r="B72" s="51"/>
    </row>
    <row r="73" spans="1:6">
      <c r="A73" s="50"/>
      <c r="B73" s="51"/>
    </row>
    <row r="74" spans="1:6">
      <c r="A74" s="50"/>
      <c r="B74" s="51"/>
    </row>
    <row r="75" spans="1:6">
      <c r="A75" s="50"/>
      <c r="B75" s="51"/>
    </row>
  </sheetData>
  <dataValidations count="3">
    <dataValidation type="list" sqref="B2 B5">
      <formula1>Lists!$A$1:$A$5</formula1>
    </dataValidation>
    <dataValidation type="list" sqref="B3 B6">
      <formula1>Lists!$B$1:$B$5</formula1>
    </dataValidation>
    <dataValidation type="list" sqref="B4 B7">
      <formula1>Lists!$C$1:$C$58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showGridLines="0" zoomScale="55" zoomScaleNormal="55" workbookViewId="0">
      <pane ySplit="2" topLeftCell="A3" activePane="bottomLeft" state="frozen"/>
      <selection/>
      <selection pane="bottomLeft" activeCell="L15" sqref="L15"/>
    </sheetView>
  </sheetViews>
  <sheetFormatPr defaultColWidth="9" defaultRowHeight="14.4"/>
  <cols>
    <col min="1" max="12" width="16" customWidth="1"/>
  </cols>
  <sheetData>
    <row r="1" ht="22" customHeight="1" spans="1:11">
      <c r="A1" s="1" t="s">
        <v>4705</v>
      </c>
    </row>
    <row r="2" ht="22" customHeight="1"/>
    <row r="3" ht="22" customHeight="1"/>
    <row r="4" ht="22" customHeight="1" spans="1:11">
      <c r="A4" s="2" t="s">
        <v>4706</v>
      </c>
      <c r="B4" s="3"/>
      <c r="C4" s="3"/>
      <c r="E4" s="4" t="s">
        <v>4696</v>
      </c>
      <c r="H4" s="5" t="s">
        <v>4697</v>
      </c>
      <c r="K4" s="6" t="s">
        <v>4707</v>
      </c>
    </row>
    <row r="5" ht="22" customHeight="1" spans="1:11">
      <c r="A5" s="3" t="s">
        <v>13</v>
      </c>
      <c r="B5" s="3" t="str">
        <f>Calc!B2</f>
        <v>All</v>
      </c>
      <c r="C5" s="3"/>
      <c r="E5" s="7">
        <f>Calc!D2</f>
        <v>55434462</v>
      </c>
      <c r="H5" s="8">
        <f>Calc!E2</f>
        <v>8318986.01</v>
      </c>
      <c r="K5" s="9">
        <f>Calc!H2</f>
        <v>0.150068850853103</v>
      </c>
    </row>
    <row r="6" ht="22" customHeight="1" spans="1:11">
      <c r="A6" s="3" t="s">
        <v>3</v>
      </c>
      <c r="B6" s="3" t="str">
        <f>Calc!B3</f>
        <v>All</v>
      </c>
      <c r="C6" s="3"/>
    </row>
    <row r="7" ht="22" customHeight="1" spans="1:11">
      <c r="A7" s="3" t="s">
        <v>5</v>
      </c>
      <c r="B7" s="3" t="str">
        <f>Calc!B4</f>
        <v>All</v>
      </c>
      <c r="C7" s="3"/>
    </row>
    <row r="8" ht="22" customHeight="1" spans="1:11">
      <c r="A8" s="3"/>
      <c r="B8" s="3"/>
      <c r="C8" s="3"/>
      <c r="E8" s="10" t="s">
        <v>4698</v>
      </c>
      <c r="H8" s="11" t="s">
        <v>4699</v>
      </c>
    </row>
    <row r="9" ht="22" customHeight="1" spans="1:11">
      <c r="E9" s="12">
        <f>Calc!F2</f>
        <v>1</v>
      </c>
      <c r="H9" s="13">
        <f>Calc!G2</f>
        <v>5978.69999999999</v>
      </c>
    </row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 spans="1:1">
      <c r="A38" s="14"/>
    </row>
    <row r="39" ht="22" customHeight="1"/>
  </sheetData>
  <mergeCells count="11">
    <mergeCell ref="E4:F4"/>
    <mergeCell ref="H4:I4"/>
    <mergeCell ref="K4:L4"/>
    <mergeCell ref="E8:F8"/>
    <mergeCell ref="H8:I8"/>
    <mergeCell ref="A1:L2"/>
    <mergeCell ref="E5:F6"/>
    <mergeCell ref="K5:L6"/>
    <mergeCell ref="H5:I6"/>
    <mergeCell ref="E9:F10"/>
    <mergeCell ref="H9:I10"/>
  </mergeCells>
  <dataValidations count="3">
    <dataValidation type="list" sqref="B2 B5">
      <formula1>Lists!$A$1:$A$5</formula1>
    </dataValidation>
    <dataValidation type="list" sqref="B3 B6">
      <formula1>Lists!$B$1:$B$5</formula1>
    </dataValidation>
    <dataValidation type="list" sqref="B4 B7">
      <formula1>Lists!$C$1:$C$58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5</v>
      </c>
      <c r="B1" t="s">
        <v>4699</v>
      </c>
    </row>
    <row r="2" spans="1:2">
      <c r="A2" t="s">
        <v>665</v>
      </c>
      <c r="B2">
        <v>3.4</v>
      </c>
    </row>
    <row r="3" spans="1:2">
      <c r="A3" t="s">
        <v>263</v>
      </c>
      <c r="B3">
        <v>3.4</v>
      </c>
    </row>
    <row r="4" spans="1:2">
      <c r="A4" t="s">
        <v>583</v>
      </c>
      <c r="B4">
        <v>3.34615384615385</v>
      </c>
    </row>
    <row r="5" spans="1:2">
      <c r="A5" t="s">
        <v>134</v>
      </c>
      <c r="B5">
        <v>3.3375</v>
      </c>
    </row>
    <row r="6" spans="1:2">
      <c r="A6" t="s">
        <v>306</v>
      </c>
      <c r="B6">
        <v>3.25172413793103</v>
      </c>
    </row>
    <row r="7" spans="1:2">
      <c r="A7" t="s">
        <v>49</v>
      </c>
      <c r="B7">
        <v>3.23428571428571</v>
      </c>
    </row>
    <row r="8" spans="1:2">
      <c r="A8" t="s">
        <v>234</v>
      </c>
      <c r="B8">
        <v>3.21290322580645</v>
      </c>
    </row>
    <row r="9" spans="1:2">
      <c r="A9" t="s">
        <v>313</v>
      </c>
      <c r="B9">
        <v>3.21034482758621</v>
      </c>
    </row>
    <row r="10" spans="1:2">
      <c r="A10" t="s">
        <v>258</v>
      </c>
      <c r="B10">
        <v>3.2</v>
      </c>
    </row>
    <row r="11" spans="1:2">
      <c r="A11" t="s">
        <v>77</v>
      </c>
      <c r="B11">
        <v>3.18148148148148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</vt:lpstr>
      <vt:lpstr>Lists</vt:lpstr>
      <vt:lpstr>Calc</vt:lpstr>
      <vt:lpstr>Dashboard</vt:lpstr>
      <vt:lpstr>ChartData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2026-04-08T10:40:00Z</dcterms:created>
  <dcterms:modified xsi:type="dcterms:W3CDTF">2026-04-08T11:10:00Z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A85EC1C9360442ED91BF87F484D60C62_12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